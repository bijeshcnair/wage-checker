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qqie.sharepoint.com/sites/caogroep/Gedeelde  documenten/1. CAO's/353 - CAO 1536 Nederlandse Gemeenten/Upload Backoffice/"/>
    </mc:Choice>
  </mc:AlternateContent>
  <xr:revisionPtr revIDLastSave="724" documentId="8_{492999DB-3938-48CC-AC27-B9F4B9A08300}" xr6:coauthVersionLast="47" xr6:coauthVersionMax="47" xr10:uidLastSave="{6998B05E-42FD-A845-859D-2BF15A011EA7}"/>
  <bookViews>
    <workbookView xWindow="0" yWindow="720" windowWidth="29400" windowHeight="18400" activeTab="1" xr2:uid="{00000000-000D-0000-FFFF-FFFF00000000}"/>
  </bookViews>
  <sheets>
    <sheet name="Import" sheetId="1" r:id="rId1"/>
    <sheet name="Berekening" sheetId="2" r:id="rId2"/>
    <sheet name="Opmerkingen+Controle" sheetId="3" r:id="rId3"/>
  </sheets>
  <definedNames>
    <definedName name="_xlnm._FilterDatabase" localSheetId="1" hidden="1">Berekening!$A$1:$O$292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F35" i="2"/>
  <c r="F36" i="2"/>
  <c r="F37" i="2"/>
  <c r="F38" i="2"/>
  <c r="F39" i="2"/>
  <c r="F40" i="2"/>
  <c r="F41" i="2"/>
  <c r="F42" i="2"/>
  <c r="F43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5" i="2"/>
  <c r="F6" i="2"/>
  <c r="F7" i="2"/>
  <c r="F8" i="2"/>
  <c r="F9" i="2"/>
  <c r="F10" i="2"/>
  <c r="F13" i="2"/>
  <c r="F14" i="2"/>
  <c r="F15" i="2"/>
  <c r="F16" i="2"/>
  <c r="F17" i="2"/>
  <c r="F18" i="2"/>
  <c r="F19" i="2"/>
  <c r="F20" i="2"/>
  <c r="F23" i="2"/>
  <c r="F24" i="2"/>
  <c r="F25" i="2"/>
  <c r="F26" i="2"/>
  <c r="F27" i="2"/>
  <c r="F28" i="2"/>
  <c r="F29" i="2"/>
  <c r="F30" i="2"/>
  <c r="F31" i="2"/>
  <c r="T28" i="3"/>
  <c r="U28" i="3"/>
  <c r="V28" i="3"/>
  <c r="W28" i="3"/>
  <c r="X28" i="3"/>
  <c r="Y28" i="3"/>
  <c r="Z28" i="3"/>
  <c r="AA28" i="3"/>
  <c r="AB28" i="3"/>
  <c r="T29" i="3"/>
  <c r="U29" i="3"/>
  <c r="V29" i="3"/>
  <c r="W29" i="3"/>
  <c r="X29" i="3"/>
  <c r="Y29" i="3"/>
  <c r="Z29" i="3"/>
  <c r="AA29" i="3"/>
  <c r="AB29" i="3"/>
  <c r="T30" i="3"/>
  <c r="U30" i="3"/>
  <c r="V30" i="3"/>
  <c r="W30" i="3"/>
  <c r="X30" i="3"/>
  <c r="Y30" i="3"/>
  <c r="Z30" i="3"/>
  <c r="AA30" i="3"/>
  <c r="AB30" i="3"/>
  <c r="T31" i="3"/>
  <c r="U31" i="3"/>
  <c r="V31" i="3"/>
  <c r="W31" i="3"/>
  <c r="X31" i="3"/>
  <c r="Y31" i="3"/>
  <c r="Z31" i="3"/>
  <c r="AA31" i="3"/>
  <c r="AB31" i="3"/>
  <c r="T32" i="3"/>
  <c r="U32" i="3"/>
  <c r="V32" i="3"/>
  <c r="W32" i="3"/>
  <c r="X32" i="3"/>
  <c r="Y32" i="3"/>
  <c r="Z32" i="3"/>
  <c r="AA32" i="3"/>
  <c r="AB32" i="3"/>
  <c r="T33" i="3"/>
  <c r="U33" i="3"/>
  <c r="V33" i="3"/>
  <c r="W33" i="3"/>
  <c r="X33" i="3"/>
  <c r="Y33" i="3"/>
  <c r="Z33" i="3"/>
  <c r="AA33" i="3"/>
  <c r="AB33" i="3"/>
  <c r="T34" i="3"/>
  <c r="U34" i="3"/>
  <c r="V34" i="3"/>
  <c r="W34" i="3"/>
  <c r="X34" i="3"/>
  <c r="Y34" i="3"/>
  <c r="Z34" i="3"/>
  <c r="AA34" i="3"/>
  <c r="AB34" i="3"/>
  <c r="T35" i="3"/>
  <c r="U35" i="3"/>
  <c r="V35" i="3"/>
  <c r="W35" i="3"/>
  <c r="X35" i="3"/>
  <c r="Y35" i="3"/>
  <c r="Z35" i="3"/>
  <c r="AA35" i="3"/>
  <c r="AB35" i="3"/>
  <c r="T36" i="3"/>
  <c r="U36" i="3"/>
  <c r="V36" i="3"/>
  <c r="W36" i="3"/>
  <c r="X36" i="3"/>
  <c r="Y36" i="3"/>
  <c r="Z36" i="3"/>
  <c r="AA36" i="3"/>
  <c r="AB36" i="3"/>
  <c r="T37" i="3"/>
  <c r="U37" i="3"/>
  <c r="V37" i="3"/>
  <c r="W37" i="3"/>
  <c r="X37" i="3"/>
  <c r="Y37" i="3"/>
  <c r="Z37" i="3"/>
  <c r="AA37" i="3"/>
  <c r="AB37" i="3"/>
  <c r="T38" i="3"/>
  <c r="U38" i="3"/>
  <c r="V38" i="3"/>
  <c r="W38" i="3"/>
  <c r="X38" i="3"/>
  <c r="Y38" i="3"/>
  <c r="Z38" i="3"/>
  <c r="AA38" i="3"/>
  <c r="AB38" i="3"/>
  <c r="T39" i="3"/>
  <c r="U39" i="3"/>
  <c r="V39" i="3"/>
  <c r="W39" i="3"/>
  <c r="X39" i="3"/>
  <c r="Y39" i="3"/>
  <c r="Z39" i="3"/>
  <c r="AA39" i="3"/>
  <c r="AB39" i="3"/>
  <c r="S29" i="3"/>
  <c r="S30" i="3"/>
  <c r="S31" i="3"/>
  <c r="S32" i="3"/>
  <c r="S33" i="3"/>
  <c r="S34" i="3"/>
  <c r="S35" i="3"/>
  <c r="S36" i="3"/>
  <c r="S37" i="3"/>
  <c r="S38" i="3"/>
  <c r="S39" i="3"/>
  <c r="S28" i="3"/>
  <c r="X13" i="3"/>
  <c r="Y13" i="3"/>
  <c r="Z13" i="3"/>
  <c r="AA13" i="3"/>
  <c r="W14" i="3"/>
  <c r="X14" i="3"/>
  <c r="Y14" i="3"/>
  <c r="Z14" i="3"/>
  <c r="AA14" i="3"/>
  <c r="V15" i="3"/>
  <c r="W15" i="3"/>
  <c r="X15" i="3"/>
  <c r="Y15" i="3"/>
  <c r="Z15" i="3"/>
  <c r="AA15" i="3"/>
  <c r="U16" i="3"/>
  <c r="V16" i="3"/>
  <c r="W16" i="3"/>
  <c r="X16" i="3"/>
  <c r="Y16" i="3"/>
  <c r="Z16" i="3"/>
  <c r="AA16" i="3"/>
  <c r="T17" i="3"/>
  <c r="U17" i="3"/>
  <c r="V17" i="3"/>
  <c r="W17" i="3"/>
  <c r="X17" i="3"/>
  <c r="Y17" i="3"/>
  <c r="Z17" i="3"/>
  <c r="AA17" i="3"/>
  <c r="T18" i="3"/>
  <c r="U18" i="3"/>
  <c r="V18" i="3"/>
  <c r="W18" i="3"/>
  <c r="X18" i="3"/>
  <c r="Y18" i="3"/>
  <c r="Z18" i="3"/>
  <c r="AA18" i="3"/>
  <c r="S19" i="3"/>
  <c r="T19" i="3"/>
  <c r="U19" i="3"/>
  <c r="V19" i="3"/>
  <c r="W19" i="3"/>
  <c r="X19" i="3"/>
  <c r="Y19" i="3"/>
  <c r="Z19" i="3"/>
  <c r="AA19" i="3"/>
  <c r="S20" i="3"/>
  <c r="T20" i="3"/>
  <c r="U20" i="3"/>
  <c r="V20" i="3"/>
  <c r="W20" i="3"/>
  <c r="X20" i="3"/>
  <c r="Y20" i="3"/>
  <c r="Z20" i="3"/>
  <c r="AA20" i="3"/>
  <c r="S21" i="3"/>
  <c r="T21" i="3"/>
  <c r="U21" i="3"/>
  <c r="V21" i="3"/>
  <c r="W21" i="3"/>
  <c r="X21" i="3"/>
  <c r="Y21" i="3"/>
  <c r="Z21" i="3"/>
  <c r="AA21" i="3"/>
  <c r="S22" i="3"/>
  <c r="T22" i="3"/>
  <c r="U22" i="3"/>
  <c r="V22" i="3"/>
  <c r="W22" i="3"/>
  <c r="X22" i="3"/>
  <c r="Y22" i="3"/>
  <c r="Z22" i="3"/>
  <c r="AA22" i="3"/>
  <c r="S23" i="3"/>
  <c r="T23" i="3"/>
  <c r="U23" i="3"/>
  <c r="V23" i="3"/>
  <c r="W23" i="3"/>
  <c r="X23" i="3"/>
  <c r="Y23" i="3"/>
  <c r="Z23" i="3"/>
  <c r="AA23" i="3"/>
  <c r="S24" i="3"/>
  <c r="T24" i="3"/>
  <c r="U24" i="3"/>
  <c r="V24" i="3"/>
  <c r="W24" i="3"/>
  <c r="X24" i="3"/>
  <c r="Y24" i="3"/>
  <c r="Z24" i="3"/>
  <c r="AA24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O63" i="3"/>
  <c r="O62" i="3"/>
  <c r="O61" i="3"/>
  <c r="O60" i="3"/>
  <c r="O59" i="3"/>
  <c r="O58" i="3"/>
  <c r="O57" i="3"/>
  <c r="O56" i="3"/>
  <c r="O55" i="3"/>
  <c r="O54" i="3"/>
  <c r="O53" i="3"/>
</calcChain>
</file>

<file path=xl/sharedStrings.xml><?xml version="1.0" encoding="utf-8"?>
<sst xmlns="http://schemas.openxmlformats.org/spreadsheetml/2006/main" count="147" uniqueCount="56">
  <si>
    <t>Id (niet vullen)</t>
  </si>
  <si>
    <t>Caoid (verplicht)</t>
  </si>
  <si>
    <t>Leeftijd (verplicht)</t>
  </si>
  <si>
    <t>Opleiding</t>
  </si>
  <si>
    <t>Minimum periodeloon (week)</t>
  </si>
  <si>
    <t>Minimum uurloon (verplicht, tenzij WML)</t>
  </si>
  <si>
    <t>Ingangsdatum (verplicht)</t>
  </si>
  <si>
    <t>Loonstap</t>
  </si>
  <si>
    <t>Zoekparameter 2</t>
  </si>
  <si>
    <t>Zoekparameter 3</t>
  </si>
  <si>
    <t>Functietype</t>
  </si>
  <si>
    <t>Functie subtype</t>
  </si>
  <si>
    <t>Functie level</t>
  </si>
  <si>
    <t xml:space="preserve">Wettelijk minimum loon (verplicht 0 of 1) </t>
  </si>
  <si>
    <t>Expired(verplicht 0 of 1)</t>
  </si>
  <si>
    <t>Controle</t>
  </si>
  <si>
    <t>Datum</t>
  </si>
  <si>
    <t>Wie?</t>
  </si>
  <si>
    <t>Opmerkingen</t>
  </si>
  <si>
    <t>Gecontroleerd</t>
  </si>
  <si>
    <t>Uurloonberekening:</t>
  </si>
  <si>
    <t>Opgesteld</t>
  </si>
  <si>
    <t>10A</t>
  </si>
  <si>
    <t>11A</t>
  </si>
  <si>
    <t>Aanloopbedrag 1</t>
  </si>
  <si>
    <t>B5</t>
  </si>
  <si>
    <t xml:space="preserve">Uitloopbedrag 1 </t>
  </si>
  <si>
    <t>D8</t>
  </si>
  <si>
    <t>Aanloopbedrag 2</t>
  </si>
  <si>
    <t>Aanloopbedrag 3</t>
  </si>
  <si>
    <t>Uitloopbedrag 2</t>
  </si>
  <si>
    <t>Uitloopbedrag 3</t>
  </si>
  <si>
    <t>C9</t>
  </si>
  <si>
    <t>Alleen de schalen 5, 8 en 9 zijn verwerkt, want zie artikel 14,6 lid 3 (zie onderstaande).</t>
  </si>
  <si>
    <r>
      <rPr>
        <b/>
        <sz val="10.5"/>
        <rFont val="Arial"/>
        <family val="2"/>
      </rPr>
      <t>Schaal</t>
    </r>
  </si>
  <si>
    <t>OnCall</t>
  </si>
  <si>
    <r>
      <rPr>
        <sz val="9.5"/>
        <color rgb="FF35B39A"/>
        <rFont val="Tahoma"/>
        <family val="2"/>
      </rPr>
      <t>Salarisschaal</t>
    </r>
  </si>
  <si>
    <r>
      <rPr>
        <sz val="9.5"/>
        <color rgb="FF35B39A"/>
        <rFont val="Tahoma"/>
        <family val="2"/>
      </rPr>
      <t>10A</t>
    </r>
  </si>
  <si>
    <r>
      <rPr>
        <sz val="9.5"/>
        <color rgb="FF35B39A"/>
        <rFont val="Tahoma"/>
        <family val="2"/>
      </rPr>
      <t>11A</t>
    </r>
  </si>
  <si>
    <t xml:space="preserve">Voor banenafspraak: </t>
  </si>
  <si>
    <t>SALARIS PER UUR</t>
  </si>
  <si>
    <t>Salarisschaal A</t>
  </si>
  <si>
    <t xml:space="preserve">WML= </t>
  </si>
  <si>
    <t>LB</t>
  </si>
  <si>
    <r>
      <rPr>
        <b/>
        <sz val="9.5"/>
        <color rgb="FF35B39A"/>
        <rFont val="Tahoma"/>
        <family val="2"/>
      </rPr>
      <t>Periodiek</t>
    </r>
  </si>
  <si>
    <t>Salarisschalen kunstzinnige vorming</t>
  </si>
  <si>
    <r>
      <rPr>
        <b/>
        <sz val="9.5"/>
        <rFont val="Tahoma"/>
        <family val="2"/>
      </rPr>
      <t>Ervaringsjaar/ periodiek</t>
    </r>
  </si>
  <si>
    <r>
      <rPr>
        <sz val="9.5"/>
        <rFont val="Tahoma"/>
        <family val="2"/>
      </rPr>
      <t>Aanloopbedrag 1</t>
    </r>
  </si>
  <si>
    <r>
      <rPr>
        <sz val="9.5"/>
        <rFont val="Tahoma"/>
        <family val="2"/>
      </rPr>
      <t>Aanloopbedrag 2</t>
    </r>
  </si>
  <si>
    <r>
      <rPr>
        <sz val="9.5"/>
        <rFont val="Tahoma"/>
        <family val="2"/>
      </rPr>
      <t>Aanloopbedrag 3</t>
    </r>
  </si>
  <si>
    <r>
      <rPr>
        <sz val="9.5"/>
        <rFont val="Tahoma"/>
        <family val="2"/>
      </rPr>
      <t>Uitloopbedrag 1</t>
    </r>
  </si>
  <si>
    <r>
      <rPr>
        <sz val="9.5"/>
        <rFont val="Tahoma"/>
        <family val="2"/>
      </rPr>
      <t>Uitloopbedrag 2</t>
    </r>
  </si>
  <si>
    <r>
      <rPr>
        <sz val="9.5"/>
        <rFont val="Tahoma"/>
        <family val="2"/>
      </rPr>
      <t>Uitloopbedrag 3</t>
    </r>
  </si>
  <si>
    <t xml:space="preserve">Correctie voor rode bedragen, moet minimaal 16 euro/uur zijn </t>
  </si>
  <si>
    <t>16*156=2496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</si>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</sst>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* #,##0.00_ ;_ * \-#,##0.00_ ;_ * &quot;-&quot;??_ ;_ @_ "/>
  </numFmts>
  <fonts count="2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0"/>
      <name val="Calibri"/>
      <family val="2"/>
    </font>
    <font>
      <b/>
      <sz val="10.5"/>
      <name val="Arial"/>
      <family val="2"/>
    </font>
    <font>
      <sz val="10.5"/>
      <name val="Arial MT"/>
    </font>
    <font>
      <sz val="10.5"/>
      <color rgb="FF000000"/>
      <name val="Arial MT"/>
      <family val="2"/>
    </font>
    <font>
      <sz val="10.5"/>
      <color rgb="FF000000"/>
      <name val="Arial Black"/>
      <family val="2"/>
    </font>
    <font>
      <sz val="9.5"/>
      <name val="Tahoma"/>
      <family val="2"/>
    </font>
    <font>
      <sz val="9.5"/>
      <color rgb="FF35B39A"/>
      <name val="Tahoma"/>
      <family val="2"/>
    </font>
    <font>
      <sz val="9.5"/>
      <color rgb="FFEE0000"/>
      <name val="Tahoma"/>
      <family val="2"/>
    </font>
    <font>
      <sz val="9.5"/>
      <color rgb="FF000000"/>
      <name val="Tahoma"/>
      <family val="2"/>
    </font>
    <font>
      <sz val="11"/>
      <color rgb="FFFF0000"/>
      <name val="Calibri"/>
      <family val="2"/>
      <scheme val="minor"/>
    </font>
    <font>
      <b/>
      <sz val="9.5"/>
      <name val="Tahoma"/>
      <family val="2"/>
    </font>
    <font>
      <b/>
      <sz val="9.5"/>
      <color rgb="FF35B39A"/>
      <name val="Tahoma"/>
      <family val="2"/>
    </font>
    <font>
      <b/>
      <sz val="10.5"/>
      <color rgb="FF000000"/>
      <name val="Arial MT"/>
      <family val="2"/>
    </font>
    <font>
      <b/>
      <sz val="11"/>
      <color indexed="8"/>
      <name val="Calibri"/>
      <family val="2"/>
      <scheme val="minor"/>
    </font>
    <font>
      <b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35B39A"/>
      </bottom>
      <diagonal/>
    </border>
    <border>
      <left/>
      <right/>
      <top style="thin">
        <color rgb="FF35B39A"/>
      </top>
      <bottom/>
      <diagonal/>
    </border>
    <border>
      <left/>
      <right/>
      <top style="thin">
        <color rgb="FF35B39A"/>
      </top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wrapText="1"/>
    </xf>
    <xf numFmtId="0" fontId="3" fillId="0" borderId="0" xfId="1"/>
    <xf numFmtId="14" fontId="0" fillId="0" borderId="0" xfId="0" applyNumberFormat="1"/>
    <xf numFmtId="164" fontId="0" fillId="0" borderId="0" xfId="3" applyFont="1" applyFill="1"/>
    <xf numFmtId="0" fontId="6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vertical="top" shrinkToFit="1"/>
    </xf>
    <xf numFmtId="0" fontId="0" fillId="2" borderId="0" xfId="0" applyFill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1" fontId="12" fillId="0" borderId="3" xfId="0" applyNumberFormat="1" applyFont="1" applyBorder="1" applyAlignment="1">
      <alignment horizontal="left" vertical="top" shrinkToFit="1"/>
    </xf>
    <xf numFmtId="1" fontId="12" fillId="0" borderId="3" xfId="0" applyNumberFormat="1" applyFont="1" applyBorder="1" applyAlignment="1">
      <alignment horizontal="left" vertical="top" indent="1" shrinkToFit="1"/>
    </xf>
    <xf numFmtId="0" fontId="0" fillId="0" borderId="5" xfId="0" applyBorder="1" applyAlignment="1">
      <alignment horizontal="left" wrapText="1"/>
    </xf>
    <xf numFmtId="1" fontId="13" fillId="0" borderId="5" xfId="0" applyNumberFormat="1" applyFont="1" applyBorder="1" applyAlignment="1">
      <alignment horizontal="left" vertical="top" indent="1" shrinkToFit="1"/>
    </xf>
    <xf numFmtId="1" fontId="14" fillId="0" borderId="5" xfId="0" applyNumberFormat="1" applyFont="1" applyBorder="1" applyAlignment="1">
      <alignment horizontal="left" vertical="top" indent="1" shrinkToFit="1"/>
    </xf>
    <xf numFmtId="1" fontId="14" fillId="0" borderId="5" xfId="0" applyNumberFormat="1" applyFont="1" applyBorder="1" applyAlignment="1">
      <alignment horizontal="left" vertical="top" shrinkToFit="1"/>
    </xf>
    <xf numFmtId="0" fontId="0" fillId="0" borderId="7" xfId="0" applyBorder="1" applyAlignment="1">
      <alignment horizontal="left" wrapText="1"/>
    </xf>
    <xf numFmtId="1" fontId="13" fillId="0" borderId="7" xfId="0" applyNumberFormat="1" applyFont="1" applyBorder="1" applyAlignment="1">
      <alignment horizontal="left" vertical="top" shrinkToFit="1"/>
    </xf>
    <xf numFmtId="1" fontId="13" fillId="0" borderId="7" xfId="0" applyNumberFormat="1" applyFont="1" applyBorder="1" applyAlignment="1">
      <alignment horizontal="left" vertical="top" indent="1" shrinkToFit="1"/>
    </xf>
    <xf numFmtId="1" fontId="14" fillId="0" borderId="7" xfId="0" applyNumberFormat="1" applyFont="1" applyBorder="1" applyAlignment="1">
      <alignment horizontal="left" vertical="top" indent="1" shrinkToFit="1"/>
    </xf>
    <xf numFmtId="1" fontId="14" fillId="0" borderId="7" xfId="0" applyNumberFormat="1" applyFont="1" applyBorder="1" applyAlignment="1">
      <alignment horizontal="left" vertical="top" shrinkToFit="1"/>
    </xf>
    <xf numFmtId="0" fontId="1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1" fillId="0" borderId="3" xfId="0" applyFont="1" applyBorder="1" applyAlignment="1">
      <alignment horizontal="left" vertical="top" wrapText="1"/>
    </xf>
    <xf numFmtId="0" fontId="0" fillId="0" borderId="0" xfId="0" applyFill="1"/>
    <xf numFmtId="0" fontId="7" fillId="0" borderId="0" xfId="0" applyFont="1" applyFill="1" applyBorder="1" applyAlignment="1">
      <alignment horizontal="left" vertical="top" wrapText="1" indent="1"/>
    </xf>
    <xf numFmtId="0" fontId="7" fillId="0" borderId="0" xfId="0" applyFont="1" applyFill="1" applyBorder="1" applyAlignment="1">
      <alignment horizontal="left" vertical="top" wrapText="1"/>
    </xf>
    <xf numFmtId="1" fontId="10" fillId="0" borderId="0" xfId="0" applyNumberFormat="1" applyFont="1" applyFill="1" applyBorder="1" applyAlignment="1">
      <alignment horizontal="center" vertical="top" shrinkToFit="1"/>
    </xf>
    <xf numFmtId="0" fontId="8" fillId="0" borderId="0" xfId="0" applyFont="1" applyFill="1" applyBorder="1" applyAlignment="1">
      <alignment horizontal="left" vertical="top" wrapText="1"/>
    </xf>
    <xf numFmtId="1" fontId="9" fillId="0" borderId="0" xfId="0" applyNumberFormat="1" applyFont="1" applyFill="1" applyBorder="1" applyAlignment="1">
      <alignment horizontal="center" vertical="top" shrinkToFit="1"/>
    </xf>
    <xf numFmtId="1" fontId="9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/>
    <xf numFmtId="2" fontId="9" fillId="0" borderId="0" xfId="0" applyNumberFormat="1" applyFont="1" applyFill="1" applyBorder="1" applyAlignment="1">
      <alignment horizontal="center" vertical="top" shrinkToFit="1"/>
    </xf>
    <xf numFmtId="2" fontId="0" fillId="0" borderId="0" xfId="0" applyNumberFormat="1" applyFill="1" applyBorder="1" applyAlignment="1">
      <alignment horizontal="left" vertical="top"/>
    </xf>
    <xf numFmtId="2" fontId="1" fillId="0" borderId="0" xfId="0" applyNumberFormat="1" applyFont="1"/>
    <xf numFmtId="2" fontId="0" fillId="0" borderId="0" xfId="0" applyNumberFormat="1"/>
    <xf numFmtId="2" fontId="15" fillId="0" borderId="0" xfId="0" applyNumberFormat="1" applyFont="1"/>
    <xf numFmtId="0" fontId="0" fillId="3" borderId="0" xfId="0" applyFill="1"/>
    <xf numFmtId="2" fontId="0" fillId="3" borderId="0" xfId="0" applyNumberFormat="1" applyFill="1"/>
    <xf numFmtId="0" fontId="16" fillId="0" borderId="0" xfId="0" applyFont="1" applyAlignment="1">
      <alignment horizontal="left" vertical="top" wrapText="1" indent="3"/>
    </xf>
    <xf numFmtId="1" fontId="17" fillId="0" borderId="4" xfId="0" applyNumberFormat="1" applyFont="1" applyBorder="1" applyAlignment="1">
      <alignment horizontal="center" vertical="top" shrinkToFit="1"/>
    </xf>
    <xf numFmtId="1" fontId="17" fillId="0" borderId="6" xfId="0" applyNumberFormat="1" applyFont="1" applyBorder="1" applyAlignment="1">
      <alignment horizontal="center" vertical="top" shrinkToFit="1"/>
    </xf>
    <xf numFmtId="1" fontId="18" fillId="0" borderId="0" xfId="0" applyNumberFormat="1" applyFont="1" applyFill="1" applyBorder="1" applyAlignment="1">
      <alignment horizontal="center" vertical="top" shrinkToFit="1"/>
    </xf>
    <xf numFmtId="0" fontId="19" fillId="0" borderId="6" xfId="0" applyFont="1" applyBorder="1" applyAlignment="1">
      <alignment horizontal="left" vertical="center" wrapText="1"/>
    </xf>
    <xf numFmtId="0" fontId="19" fillId="0" borderId="0" xfId="0" applyFont="1"/>
    <xf numFmtId="0" fontId="16" fillId="0" borderId="8" xfId="0" applyFont="1" applyBorder="1" applyAlignment="1">
      <alignment horizontal="left" vertical="top" wrapText="1"/>
    </xf>
    <xf numFmtId="0" fontId="19" fillId="0" borderId="0" xfId="0" applyFont="1" applyBorder="1"/>
    <xf numFmtId="0" fontId="0" fillId="0" borderId="0" xfId="0" applyBorder="1"/>
    <xf numFmtId="0" fontId="16" fillId="0" borderId="0" xfId="0" applyFont="1" applyBorder="1" applyAlignment="1">
      <alignment horizontal="left" vertical="top" wrapText="1"/>
    </xf>
    <xf numFmtId="1" fontId="20" fillId="0" borderId="0" xfId="0" applyNumberFormat="1" applyFont="1" applyBorder="1" applyAlignment="1">
      <alignment horizontal="center" vertical="top" shrinkToFit="1"/>
    </xf>
    <xf numFmtId="0" fontId="11" fillId="0" borderId="0" xfId="0" applyFont="1" applyBorder="1" applyAlignment="1">
      <alignment horizontal="left" vertical="top" wrapText="1"/>
    </xf>
    <xf numFmtId="1" fontId="14" fillId="0" borderId="0" xfId="0" applyNumberFormat="1" applyFont="1" applyBorder="1" applyAlignment="1">
      <alignment horizontal="center" vertical="top" shrinkToFit="1"/>
    </xf>
    <xf numFmtId="1" fontId="14" fillId="0" borderId="0" xfId="0" applyNumberFormat="1" applyFont="1" applyBorder="1" applyAlignment="1">
      <alignment horizontal="left" vertical="top" shrinkToFit="1"/>
    </xf>
    <xf numFmtId="1" fontId="20" fillId="0" borderId="8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14" fillId="0" borderId="8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top" shrinkToFit="1"/>
    </xf>
    <xf numFmtId="2" fontId="14" fillId="0" borderId="5" xfId="0" applyNumberFormat="1" applyFont="1" applyBorder="1" applyAlignment="1">
      <alignment horizontal="left" vertical="top" shrinkToFit="1"/>
    </xf>
    <xf numFmtId="1" fontId="20" fillId="3" borderId="8" xfId="0" applyNumberFormat="1" applyFont="1" applyFill="1" applyBorder="1" applyAlignment="1">
      <alignment horizontal="center" vertical="top" shrinkToFit="1"/>
    </xf>
    <xf numFmtId="1" fontId="14" fillId="3" borderId="8" xfId="0" applyNumberFormat="1" applyFont="1" applyFill="1" applyBorder="1" applyAlignment="1">
      <alignment horizontal="center" vertical="top" shrinkToFit="1"/>
    </xf>
    <xf numFmtId="1" fontId="14" fillId="0" borderId="8" xfId="0" applyNumberFormat="1" applyFont="1" applyFill="1" applyBorder="1" applyAlignment="1">
      <alignment horizontal="center" vertical="top" shrinkToFit="1"/>
    </xf>
    <xf numFmtId="1" fontId="9" fillId="0" borderId="2" xfId="0" applyNumberFormat="1" applyFont="1" applyFill="1" applyBorder="1" applyAlignment="1">
      <alignment vertical="top" shrinkToFit="1"/>
    </xf>
  </cellXfs>
  <cellStyles count="4">
    <cellStyle name="Komma 2" xfId="2" xr:uid="{D51DCCBE-2218-4C54-9A03-FECF2D6E662F}"/>
    <cellStyle name="Standaard" xfId="0" builtinId="0"/>
    <cellStyle name="Standaard 2" xfId="1" xr:uid="{429CB285-145F-4C65-8494-63007E856050}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1357313</xdr:colOff>
      <xdr:row>6</xdr:row>
      <xdr:rowOff>11905</xdr:rowOff>
    </xdr:from>
    <xdr:to>
      <xdr:col>12</xdr:col>
      <xdr:colOff>22444</xdr:colOff>
      <xdr:row>9</xdr:row>
      <xdr:rowOff>34367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6D24B9A-FA77-B921-58D1-59FEB56E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313" y="1369218"/>
          <a:ext cx="7249537" cy="59396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28</xdr:col>
      <xdr:colOff>438150</xdr:colOff>
      <xdr:row>75</xdr:row>
      <xdr:rowOff>8547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7996C603-89D6-6B58-621B-85B0FBEDA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06375" y="9366250"/>
          <a:ext cx="7772400" cy="51520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12</xdr:col>
      <xdr:colOff>659166</xdr:colOff>
      <xdr:row>82</xdr:row>
      <xdr:rowOff>167984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FDA2BB0D-51E5-2C44-AEDB-E79888E97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197667"/>
          <a:ext cx="10311166" cy="1550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2"/>
  <sheetViews>
    <sheetView zoomScale="80" zoomScaleNormal="80" workbookViewId="0">
      <pane ySplit="1" topLeftCell="A72" activePane="bottomLeft" state="frozen"/>
      <selection pane="bottomLeft" activeCell="C246" sqref="A1:P292"/>
    </sheetView>
  </sheetViews>
  <sheetFormatPr baseColWidth="10" defaultColWidth="8.83203125" defaultRowHeight="15"/>
  <cols>
    <col min="1" max="14" width="20" customWidth="1"/>
  </cols>
  <sheetData>
    <row r="1" spans="1:16" ht="4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B2" s="2"/>
      <c r="F2" s="4"/>
      <c r="G2" s="3"/>
      <c r="I2" s="1"/>
      <c r="J2" s="1"/>
      <c r="K2" s="1"/>
      <c r="L2" s="1"/>
      <c r="M2" s="5"/>
      <c r="N2" s="5"/>
      <c r="O2" s="5"/>
    </row>
    <row r="3" spans="1:16">
      <c r="B3" s="2"/>
      <c r="F3" s="4"/>
      <c r="G3" s="3"/>
      <c r="N3" s="5"/>
    </row>
    <row r="4" spans="1:16">
      <c r="B4" s="2"/>
      <c r="F4" s="4"/>
      <c r="G4" s="3"/>
      <c r="N4" s="5"/>
    </row>
    <row r="5" spans="1:16">
      <c r="B5" s="2"/>
      <c r="F5" s="4"/>
      <c r="G5" s="3"/>
      <c r="N5" s="5"/>
    </row>
    <row r="6" spans="1:16">
      <c r="B6" s="2"/>
      <c r="F6" s="4"/>
      <c r="G6" s="3"/>
      <c r="N6" s="5"/>
    </row>
    <row r="7" spans="1:16">
      <c r="B7" s="2"/>
      <c r="F7" s="4"/>
      <c r="G7" s="3"/>
      <c r="N7" s="5"/>
    </row>
    <row r="8" spans="1:16">
      <c r="B8" s="2"/>
      <c r="F8" s="4"/>
      <c r="G8" s="3"/>
      <c r="N8" s="5"/>
    </row>
    <row r="9" spans="1:16">
      <c r="B9" s="2"/>
      <c r="F9" s="4"/>
      <c r="G9" s="3"/>
      <c r="N9" s="5"/>
    </row>
    <row r="10" spans="1:16">
      <c r="B10" s="2"/>
      <c r="F10" s="4"/>
      <c r="G10" s="3"/>
      <c r="N10" s="5"/>
    </row>
    <row r="11" spans="1:16">
      <c r="B11" s="2"/>
      <c r="F11" s="4"/>
      <c r="G11" s="3"/>
      <c r="N11" s="5"/>
    </row>
    <row r="12" spans="1:16">
      <c r="B12" s="2"/>
      <c r="F12" s="4"/>
      <c r="G12" s="3"/>
      <c r="N12" s="5"/>
    </row>
    <row r="13" spans="1:16">
      <c r="B13" s="2"/>
      <c r="F13" s="4"/>
      <c r="G13" s="3"/>
      <c r="N13" s="5"/>
    </row>
    <row r="14" spans="1:16">
      <c r="B14" s="2"/>
      <c r="F14" s="4"/>
      <c r="G14" s="3"/>
      <c r="N14" s="5"/>
    </row>
    <row r="15" spans="1:16">
      <c r="B15" s="2"/>
      <c r="F15" s="4"/>
      <c r="G15" s="3"/>
      <c r="N15" s="5"/>
    </row>
    <row r="16" spans="1:16">
      <c r="B16" s="2"/>
      <c r="F16" s="4"/>
      <c r="G16" s="3"/>
      <c r="N16" s="5"/>
    </row>
    <row r="17" spans="2:14">
      <c r="B17" s="2"/>
      <c r="F17" s="4"/>
      <c r="G17" s="3"/>
      <c r="N17" s="5"/>
    </row>
    <row r="18" spans="2:14">
      <c r="B18" s="2"/>
      <c r="F18" s="4"/>
      <c r="G18" s="3"/>
      <c r="N18" s="5"/>
    </row>
    <row r="19" spans="2:14">
      <c r="B19" s="2"/>
      <c r="F19" s="4"/>
      <c r="G19" s="3"/>
      <c r="N19" s="5"/>
    </row>
    <row r="20" spans="2:14">
      <c r="B20" s="2"/>
      <c r="F20" s="4"/>
      <c r="G20" s="3"/>
      <c r="N20" s="5"/>
    </row>
    <row r="21" spans="2:14">
      <c r="B21" s="2"/>
      <c r="F21" s="4"/>
      <c r="G21" s="3"/>
      <c r="N21" s="5"/>
    </row>
    <row r="22" spans="2:14">
      <c r="B22" s="2"/>
      <c r="F22" s="4"/>
      <c r="G22" s="3"/>
      <c r="N22" s="5"/>
    </row>
    <row r="23" spans="2:14">
      <c r="B23" s="2"/>
      <c r="F23" s="4"/>
      <c r="G23" s="3"/>
      <c r="N23" s="5"/>
    </row>
    <row r="24" spans="2:14">
      <c r="B24" s="2"/>
      <c r="F24" s="4"/>
      <c r="G24" s="3"/>
      <c r="N24" s="5"/>
    </row>
    <row r="25" spans="2:14">
      <c r="B25" s="2"/>
      <c r="F25" s="4"/>
      <c r="G25" s="3"/>
      <c r="N25" s="5"/>
    </row>
    <row r="26" spans="2:14">
      <c r="B26" s="2"/>
      <c r="F26" s="4"/>
      <c r="G26" s="3"/>
      <c r="N26" s="5"/>
    </row>
    <row r="27" spans="2:14">
      <c r="B27" s="2"/>
      <c r="F27" s="4"/>
      <c r="G27" s="3"/>
      <c r="N27" s="5"/>
    </row>
    <row r="28" spans="2:14">
      <c r="B28" s="2"/>
      <c r="F28" s="4"/>
      <c r="G28" s="3"/>
      <c r="N28" s="5"/>
    </row>
    <row r="29" spans="2:14">
      <c r="B29" s="2"/>
      <c r="F29" s="4"/>
      <c r="G29" s="3"/>
      <c r="N29" s="5"/>
    </row>
    <row r="30" spans="2:14">
      <c r="B30" s="2"/>
      <c r="F30" s="4"/>
      <c r="G30" s="3"/>
      <c r="N30" s="5"/>
    </row>
    <row r="31" spans="2:14">
      <c r="B31" s="2"/>
      <c r="F31" s="4"/>
      <c r="G31" s="3"/>
      <c r="N31" s="5"/>
    </row>
    <row r="32" spans="2:14">
      <c r="B32" s="2"/>
      <c r="F32" s="4"/>
      <c r="G32" s="3"/>
      <c r="N32" s="5"/>
    </row>
    <row r="33" spans="2:14">
      <c r="B33" s="2"/>
      <c r="F33" s="4"/>
      <c r="G33" s="3"/>
      <c r="N33" s="5"/>
    </row>
    <row r="34" spans="2:14">
      <c r="B34" s="2"/>
      <c r="F34" s="4"/>
      <c r="G34" s="3"/>
      <c r="N34" s="5"/>
    </row>
    <row r="35" spans="2:14">
      <c r="B35" s="2"/>
      <c r="F35" s="4"/>
      <c r="G35" s="3"/>
      <c r="N35" s="5"/>
    </row>
    <row r="36" spans="2:14">
      <c r="B36" s="2"/>
      <c r="F36" s="4"/>
      <c r="G36" s="3"/>
      <c r="N36" s="5"/>
    </row>
    <row r="37" spans="2:14">
      <c r="B37" s="2"/>
      <c r="F37" s="4"/>
      <c r="G37" s="3"/>
      <c r="N37" s="5"/>
    </row>
    <row r="38" spans="2:14">
      <c r="B38" s="2"/>
      <c r="F38" s="4"/>
      <c r="G38" s="3"/>
      <c r="N38" s="5"/>
    </row>
    <row r="39" spans="2:14">
      <c r="B39" s="2"/>
      <c r="F39" s="4"/>
      <c r="G39" s="3"/>
      <c r="N39" s="5"/>
    </row>
    <row r="40" spans="2:14">
      <c r="B40" s="2"/>
      <c r="F40" s="4"/>
      <c r="G40" s="3"/>
      <c r="N40" s="5"/>
    </row>
    <row r="41" spans="2:14">
      <c r="B41" s="2"/>
      <c r="F41" s="4"/>
      <c r="G41" s="3"/>
      <c r="N41" s="5"/>
    </row>
    <row r="42" spans="2:14">
      <c r="B42" s="2"/>
      <c r="F42" s="4"/>
      <c r="G42" s="3"/>
      <c r="N42" s="5"/>
    </row>
    <row r="43" spans="2:14">
      <c r="B43" s="2"/>
      <c r="F43" s="4"/>
      <c r="G43" s="3"/>
      <c r="N43" s="5"/>
    </row>
    <row r="44" spans="2:14">
      <c r="B44" s="2"/>
      <c r="F44" s="4"/>
      <c r="G44" s="3"/>
      <c r="N44" s="5"/>
    </row>
    <row r="45" spans="2:14">
      <c r="B45" s="2"/>
      <c r="F45" s="4"/>
      <c r="G45" s="3"/>
      <c r="N45" s="5"/>
    </row>
    <row r="46" spans="2:14">
      <c r="B46" s="2"/>
      <c r="F46" s="4"/>
      <c r="G46" s="3"/>
      <c r="N46" s="5"/>
    </row>
    <row r="47" spans="2:14">
      <c r="B47" s="2"/>
      <c r="F47" s="4"/>
      <c r="G47" s="3"/>
      <c r="N47" s="5"/>
    </row>
    <row r="48" spans="2:14">
      <c r="B48" s="2"/>
      <c r="F48" s="4"/>
      <c r="G48" s="3"/>
      <c r="N48" s="5"/>
    </row>
    <row r="49" spans="2:14">
      <c r="B49" s="2"/>
      <c r="F49" s="4"/>
      <c r="G49" s="3"/>
      <c r="N49" s="5"/>
    </row>
    <row r="50" spans="2:14">
      <c r="B50" s="2"/>
      <c r="F50" s="4"/>
      <c r="G50" s="3"/>
      <c r="N50" s="5"/>
    </row>
    <row r="51" spans="2:14">
      <c r="B51" s="2"/>
      <c r="F51" s="4"/>
      <c r="G51" s="3"/>
      <c r="N51" s="5"/>
    </row>
    <row r="52" spans="2:14">
      <c r="B52" s="2"/>
      <c r="F52" s="4"/>
      <c r="G52" s="3"/>
      <c r="N52" s="5"/>
    </row>
    <row r="53" spans="2:14">
      <c r="B53" s="2"/>
      <c r="F53" s="4"/>
      <c r="G53" s="3"/>
      <c r="N53" s="5"/>
    </row>
    <row r="54" spans="2:14">
      <c r="B54" s="2"/>
      <c r="F54" s="4"/>
      <c r="G54" s="3"/>
      <c r="N54" s="5"/>
    </row>
    <row r="55" spans="2:14">
      <c r="B55" s="2"/>
      <c r="F55" s="4"/>
      <c r="G55" s="3"/>
      <c r="N55" s="5"/>
    </row>
    <row r="56" spans="2:14">
      <c r="B56" s="2"/>
      <c r="F56" s="4"/>
      <c r="G56" s="3"/>
      <c r="N56" s="5"/>
    </row>
    <row r="57" spans="2:14">
      <c r="B57" s="2"/>
      <c r="F57" s="4"/>
      <c r="G57" s="3"/>
      <c r="N57" s="5"/>
    </row>
    <row r="58" spans="2:14">
      <c r="B58" s="2"/>
      <c r="F58" s="4"/>
      <c r="G58" s="3"/>
      <c r="N58" s="5"/>
    </row>
    <row r="59" spans="2:14">
      <c r="B59" s="2"/>
      <c r="F59" s="4"/>
      <c r="G59" s="3"/>
      <c r="N59" s="5"/>
    </row>
    <row r="60" spans="2:14">
      <c r="B60" s="2"/>
      <c r="F60" s="4"/>
      <c r="G60" s="3"/>
      <c r="N60" s="5"/>
    </row>
    <row r="61" spans="2:14">
      <c r="B61" s="2"/>
      <c r="F61" s="4"/>
      <c r="G61" s="3"/>
      <c r="N61" s="5"/>
    </row>
    <row r="62" spans="2:14">
      <c r="B62" s="2"/>
      <c r="F62" s="4"/>
      <c r="G62" s="3"/>
      <c r="N62" s="5"/>
    </row>
    <row r="63" spans="2:14">
      <c r="B63" s="2"/>
      <c r="F63" s="4"/>
      <c r="G63" s="3"/>
      <c r="N63" s="5"/>
    </row>
    <row r="64" spans="2:14">
      <c r="B64" s="2"/>
      <c r="F64" s="4"/>
      <c r="G64" s="3"/>
      <c r="N64" s="5"/>
    </row>
    <row r="65" spans="2:14">
      <c r="B65" s="2"/>
      <c r="F65" s="4"/>
      <c r="G65" s="3"/>
      <c r="N65" s="5"/>
    </row>
    <row r="66" spans="2:14">
      <c r="B66" s="2"/>
      <c r="F66" s="4"/>
      <c r="G66" s="3"/>
      <c r="N66" s="5"/>
    </row>
    <row r="67" spans="2:14">
      <c r="B67" s="2"/>
      <c r="F67" s="4"/>
      <c r="G67" s="3"/>
      <c r="N67" s="5"/>
    </row>
    <row r="68" spans="2:14">
      <c r="B68" s="2"/>
      <c r="F68" s="4"/>
      <c r="G68" s="3"/>
      <c r="N68" s="5"/>
    </row>
    <row r="69" spans="2:14">
      <c r="B69" s="2"/>
      <c r="F69" s="4"/>
      <c r="G69" s="3"/>
      <c r="N69" s="5"/>
    </row>
    <row r="70" spans="2:14">
      <c r="B70" s="2"/>
      <c r="F70" s="4"/>
      <c r="G70" s="3"/>
      <c r="N70" s="5"/>
    </row>
    <row r="71" spans="2:14">
      <c r="B71" s="2"/>
      <c r="F71" s="4"/>
      <c r="G71" s="3"/>
      <c r="N71" s="5"/>
    </row>
    <row r="72" spans="2:14">
      <c r="B72" s="2"/>
      <c r="F72" s="4"/>
      <c r="G72" s="3"/>
      <c r="N72" s="5"/>
    </row>
    <row r="73" spans="2:14">
      <c r="B73" s="2"/>
      <c r="F73" s="4"/>
      <c r="G73" s="3"/>
      <c r="N73" s="5"/>
    </row>
    <row r="74" spans="2:14">
      <c r="B74" s="2"/>
      <c r="F74" s="4"/>
      <c r="G74" s="3"/>
      <c r="N74" s="5"/>
    </row>
    <row r="75" spans="2:14">
      <c r="B75" s="2"/>
      <c r="F75" s="4"/>
      <c r="G75" s="3"/>
      <c r="N75" s="5"/>
    </row>
    <row r="76" spans="2:14">
      <c r="B76" s="2"/>
      <c r="F76" s="4"/>
      <c r="G76" s="3"/>
      <c r="N76" s="5"/>
    </row>
    <row r="77" spans="2:14">
      <c r="B77" s="2"/>
      <c r="F77" s="4"/>
      <c r="G77" s="3"/>
      <c r="N77" s="5"/>
    </row>
    <row r="78" spans="2:14">
      <c r="B78" s="2"/>
      <c r="F78" s="4"/>
      <c r="G78" s="3"/>
      <c r="N78" s="5"/>
    </row>
    <row r="79" spans="2:14">
      <c r="B79" s="2"/>
      <c r="F79" s="4"/>
      <c r="G79" s="3"/>
      <c r="N79" s="5"/>
    </row>
    <row r="80" spans="2:14">
      <c r="B80" s="2"/>
      <c r="F80" s="4"/>
      <c r="G80" s="3"/>
      <c r="N80" s="5"/>
    </row>
    <row r="81" spans="2:14">
      <c r="B81" s="2"/>
      <c r="F81" s="4"/>
      <c r="G81" s="3"/>
      <c r="N81" s="5"/>
    </row>
    <row r="82" spans="2:14">
      <c r="B82" s="2"/>
      <c r="F82" s="4"/>
      <c r="G82" s="3"/>
      <c r="N82" s="5"/>
    </row>
    <row r="83" spans="2:14">
      <c r="B83" s="2"/>
      <c r="F83" s="4"/>
      <c r="G83" s="3"/>
      <c r="N83" s="5"/>
    </row>
    <row r="84" spans="2:14">
      <c r="B84" s="2"/>
      <c r="F84" s="4"/>
      <c r="G84" s="3"/>
      <c r="N84" s="5"/>
    </row>
    <row r="85" spans="2:14">
      <c r="B85" s="2"/>
      <c r="F85" s="4"/>
      <c r="G85" s="3"/>
      <c r="N85" s="5"/>
    </row>
    <row r="86" spans="2:14">
      <c r="B86" s="2"/>
      <c r="F86" s="4"/>
      <c r="G86" s="3"/>
      <c r="N86" s="5"/>
    </row>
    <row r="87" spans="2:14">
      <c r="B87" s="2"/>
      <c r="F87" s="4"/>
      <c r="G87" s="3"/>
      <c r="N87" s="5"/>
    </row>
    <row r="88" spans="2:14">
      <c r="B88" s="2"/>
      <c r="F88" s="4"/>
      <c r="G88" s="3"/>
      <c r="N88" s="5"/>
    </row>
    <row r="89" spans="2:14">
      <c r="B89" s="2"/>
      <c r="F89" s="4"/>
      <c r="G89" s="3"/>
      <c r="N89" s="5"/>
    </row>
    <row r="90" spans="2:14">
      <c r="B90" s="2"/>
      <c r="F90" s="4"/>
      <c r="G90" s="3"/>
      <c r="N90" s="5"/>
    </row>
    <row r="91" spans="2:14">
      <c r="B91" s="2"/>
      <c r="F91" s="4"/>
      <c r="G91" s="3"/>
      <c r="N91" s="5"/>
    </row>
    <row r="92" spans="2:14">
      <c r="B92" s="2"/>
      <c r="F92" s="4"/>
      <c r="G92" s="3"/>
      <c r="N92" s="5"/>
    </row>
    <row r="93" spans="2:14">
      <c r="B93" s="2"/>
      <c r="F93" s="4"/>
      <c r="G93" s="3"/>
      <c r="N93" s="5"/>
    </row>
    <row r="94" spans="2:14">
      <c r="B94" s="2"/>
      <c r="F94" s="4"/>
      <c r="G94" s="3"/>
      <c r="N94" s="5"/>
    </row>
    <row r="95" spans="2:14">
      <c r="B95" s="2"/>
      <c r="F95" s="4"/>
      <c r="G95" s="3"/>
      <c r="N95" s="5"/>
    </row>
    <row r="96" spans="2:14">
      <c r="B96" s="2"/>
      <c r="F96" s="4"/>
      <c r="G96" s="3"/>
      <c r="N96" s="5"/>
    </row>
    <row r="97" spans="2:14">
      <c r="B97" s="2"/>
      <c r="F97" s="4"/>
      <c r="G97" s="3"/>
      <c r="N97" s="5"/>
    </row>
    <row r="98" spans="2:14">
      <c r="B98" s="2"/>
      <c r="F98" s="4"/>
      <c r="G98" s="3"/>
      <c r="N98" s="5"/>
    </row>
    <row r="99" spans="2:14">
      <c r="B99" s="2"/>
      <c r="F99" s="4"/>
      <c r="G99" s="3"/>
      <c r="N99" s="5"/>
    </row>
    <row r="100" spans="2:14">
      <c r="B100" s="2"/>
      <c r="F100" s="4"/>
      <c r="G100" s="3"/>
      <c r="N100" s="5"/>
    </row>
    <row r="101" spans="2:14">
      <c r="B101" s="2"/>
      <c r="F101" s="4"/>
      <c r="G101" s="3"/>
      <c r="N101" s="5"/>
    </row>
    <row r="102" spans="2:14">
      <c r="B102" s="2"/>
      <c r="F102" s="4"/>
      <c r="G102" s="3"/>
      <c r="N102" s="5"/>
    </row>
    <row r="103" spans="2:14">
      <c r="B103" s="2"/>
      <c r="F103" s="4"/>
      <c r="G103" s="3"/>
      <c r="N103" s="5"/>
    </row>
    <row r="104" spans="2:14">
      <c r="B104" s="2"/>
      <c r="F104" s="4"/>
      <c r="G104" s="3"/>
      <c r="N104" s="5"/>
    </row>
    <row r="105" spans="2:14">
      <c r="B105" s="2"/>
      <c r="F105" s="4"/>
      <c r="G105" s="3"/>
      <c r="N105" s="5"/>
    </row>
    <row r="106" spans="2:14">
      <c r="B106" s="2"/>
      <c r="F106" s="4"/>
      <c r="G106" s="3"/>
      <c r="N106" s="5"/>
    </row>
    <row r="107" spans="2:14">
      <c r="B107" s="2"/>
      <c r="F107" s="4"/>
      <c r="G107" s="3"/>
      <c r="N107" s="5"/>
    </row>
    <row r="108" spans="2:14">
      <c r="B108" s="2"/>
      <c r="F108" s="4"/>
      <c r="G108" s="3"/>
      <c r="N108" s="5"/>
    </row>
    <row r="109" spans="2:14">
      <c r="B109" s="2"/>
      <c r="F109" s="4"/>
      <c r="G109" s="3"/>
      <c r="N109" s="5"/>
    </row>
    <row r="110" spans="2:14">
      <c r="B110" s="2"/>
      <c r="F110" s="4"/>
      <c r="G110" s="3"/>
      <c r="N110" s="5"/>
    </row>
    <row r="111" spans="2:14">
      <c r="B111" s="2"/>
      <c r="F111" s="4"/>
      <c r="G111" s="3"/>
      <c r="N111" s="5"/>
    </row>
    <row r="112" spans="2:14">
      <c r="B112" s="2"/>
      <c r="F112" s="4"/>
      <c r="G112" s="3"/>
      <c r="N112" s="5"/>
    </row>
    <row r="113" spans="2:14">
      <c r="B113" s="2"/>
      <c r="F113" s="4"/>
      <c r="G113" s="3"/>
      <c r="N113" s="5"/>
    </row>
    <row r="114" spans="2:14">
      <c r="B114" s="2"/>
      <c r="F114" s="4"/>
      <c r="G114" s="3"/>
      <c r="N114" s="5"/>
    </row>
    <row r="115" spans="2:14">
      <c r="B115" s="2"/>
      <c r="F115" s="4"/>
      <c r="G115" s="3"/>
      <c r="N115" s="5"/>
    </row>
    <row r="116" spans="2:14">
      <c r="B116" s="2"/>
      <c r="F116" s="4"/>
      <c r="G116" s="3"/>
      <c r="N116" s="5"/>
    </row>
    <row r="117" spans="2:14">
      <c r="B117" s="2"/>
      <c r="F117" s="4"/>
      <c r="G117" s="3"/>
      <c r="N117" s="5"/>
    </row>
    <row r="118" spans="2:14">
      <c r="B118" s="2"/>
      <c r="F118" s="4"/>
      <c r="G118" s="3"/>
      <c r="N118" s="5"/>
    </row>
    <row r="119" spans="2:14">
      <c r="B119" s="2"/>
      <c r="F119" s="4"/>
      <c r="G119" s="3"/>
      <c r="N119" s="5"/>
    </row>
    <row r="120" spans="2:14">
      <c r="B120" s="2"/>
      <c r="F120" s="4"/>
      <c r="G120" s="3"/>
      <c r="N120" s="5"/>
    </row>
    <row r="121" spans="2:14">
      <c r="B121" s="2"/>
      <c r="F121" s="4"/>
      <c r="G121" s="3"/>
      <c r="N121" s="5"/>
    </row>
    <row r="122" spans="2:14">
      <c r="B122" s="2"/>
      <c r="F122" s="4"/>
      <c r="G122" s="3"/>
      <c r="N122" s="5"/>
    </row>
    <row r="123" spans="2:14">
      <c r="B123" s="2"/>
      <c r="F123" s="4"/>
      <c r="G123" s="3"/>
      <c r="N123" s="5"/>
    </row>
    <row r="124" spans="2:14">
      <c r="B124" s="2"/>
      <c r="F124" s="4"/>
      <c r="G124" s="3"/>
      <c r="N124" s="5"/>
    </row>
    <row r="125" spans="2:14">
      <c r="B125" s="2"/>
      <c r="F125" s="4"/>
      <c r="G125" s="3"/>
      <c r="N125" s="5"/>
    </row>
    <row r="126" spans="2:14">
      <c r="B126" s="2"/>
      <c r="F126" s="4"/>
      <c r="G126" s="3"/>
      <c r="N126" s="5"/>
    </row>
    <row r="127" spans="2:14">
      <c r="B127" s="2"/>
      <c r="F127" s="4"/>
      <c r="G127" s="3"/>
      <c r="N127" s="5"/>
    </row>
    <row r="128" spans="2:14">
      <c r="B128" s="2"/>
      <c r="F128" s="4"/>
      <c r="G128" s="3"/>
      <c r="N128" s="5"/>
    </row>
    <row r="129" spans="2:14">
      <c r="B129" s="2"/>
      <c r="F129" s="4"/>
      <c r="G129" s="3"/>
      <c r="N129" s="5"/>
    </row>
    <row r="130" spans="2:14">
      <c r="B130" s="2"/>
      <c r="F130" s="4"/>
      <c r="G130" s="3"/>
      <c r="N130" s="5"/>
    </row>
    <row r="131" spans="2:14">
      <c r="B131" s="2"/>
      <c r="F131" s="4"/>
      <c r="G131" s="3"/>
      <c r="N131" s="5"/>
    </row>
    <row r="132" spans="2:14">
      <c r="B132" s="2"/>
      <c r="F132" s="4"/>
      <c r="G132" s="3"/>
      <c r="N132" s="5"/>
    </row>
    <row r="133" spans="2:14">
      <c r="B133" s="2"/>
      <c r="F133" s="4"/>
      <c r="G133" s="3"/>
      <c r="N133" s="5"/>
    </row>
    <row r="134" spans="2:14">
      <c r="B134" s="2"/>
      <c r="F134" s="4"/>
      <c r="G134" s="3"/>
      <c r="N134" s="5"/>
    </row>
    <row r="135" spans="2:14">
      <c r="B135" s="2"/>
      <c r="F135" s="4"/>
      <c r="G135" s="3"/>
      <c r="N135" s="5"/>
    </row>
    <row r="136" spans="2:14">
      <c r="B136" s="2"/>
      <c r="F136" s="4"/>
      <c r="G136" s="3"/>
      <c r="N136" s="5"/>
    </row>
    <row r="137" spans="2:14">
      <c r="B137" s="2"/>
      <c r="F137" s="4"/>
      <c r="G137" s="3"/>
      <c r="N137" s="5"/>
    </row>
    <row r="138" spans="2:14">
      <c r="B138" s="2"/>
      <c r="F138" s="4"/>
      <c r="G138" s="3"/>
      <c r="N138" s="5"/>
    </row>
    <row r="139" spans="2:14">
      <c r="B139" s="2"/>
      <c r="F139" s="4"/>
      <c r="G139" s="3"/>
      <c r="N139" s="5"/>
    </row>
    <row r="140" spans="2:14">
      <c r="B140" s="2"/>
      <c r="F140" s="4"/>
      <c r="G140" s="3"/>
      <c r="N140" s="5"/>
    </row>
    <row r="141" spans="2:14">
      <c r="B141" s="2"/>
      <c r="F141" s="4"/>
      <c r="G141" s="3"/>
      <c r="N141" s="5"/>
    </row>
    <row r="142" spans="2:14">
      <c r="B142" s="2"/>
      <c r="F142" s="4"/>
      <c r="G142" s="3"/>
      <c r="N142" s="5"/>
    </row>
    <row r="143" spans="2:14">
      <c r="B143" s="2"/>
      <c r="F143" s="4"/>
      <c r="G143" s="3"/>
      <c r="N143" s="5"/>
    </row>
    <row r="144" spans="2:14">
      <c r="B144" s="2"/>
      <c r="F144" s="4"/>
      <c r="G144" s="3"/>
      <c r="N144" s="5"/>
    </row>
    <row r="145" spans="2:14">
      <c r="B145" s="2"/>
      <c r="F145" s="4"/>
      <c r="G145" s="3"/>
      <c r="N145" s="5"/>
    </row>
    <row r="146" spans="2:14">
      <c r="B146" s="2"/>
      <c r="F146" s="4"/>
      <c r="G146" s="3"/>
      <c r="N146" s="5"/>
    </row>
    <row r="147" spans="2:14">
      <c r="B147" s="2"/>
      <c r="F147" s="4"/>
      <c r="G147" s="3"/>
      <c r="N147" s="5"/>
    </row>
    <row r="148" spans="2:14">
      <c r="B148" s="2"/>
      <c r="F148" s="4"/>
      <c r="G148" s="3"/>
      <c r="N148" s="5"/>
    </row>
    <row r="149" spans="2:14">
      <c r="B149" s="2"/>
      <c r="F149" s="4"/>
      <c r="G149" s="3"/>
      <c r="N149" s="5"/>
    </row>
    <row r="150" spans="2:14">
      <c r="B150" s="2"/>
      <c r="F150" s="4"/>
      <c r="G150" s="3"/>
      <c r="N150" s="5"/>
    </row>
    <row r="151" spans="2:14">
      <c r="B151" s="2"/>
      <c r="F151" s="4"/>
      <c r="G151" s="3"/>
      <c r="N151" s="5"/>
    </row>
    <row r="152" spans="2:14">
      <c r="B152" s="2"/>
      <c r="F152" s="4"/>
      <c r="G152" s="3"/>
      <c r="N152" s="5"/>
    </row>
    <row r="153" spans="2:14">
      <c r="B153" s="2"/>
      <c r="F153" s="4"/>
      <c r="G153" s="3"/>
      <c r="N153" s="5"/>
    </row>
    <row r="154" spans="2:14">
      <c r="B154" s="2"/>
      <c r="F154" s="4"/>
      <c r="G154" s="3"/>
      <c r="N154" s="5"/>
    </row>
    <row r="155" spans="2:14">
      <c r="B155" s="2"/>
      <c r="F155" s="4"/>
      <c r="G155" s="3"/>
      <c r="N155" s="5"/>
    </row>
    <row r="156" spans="2:14">
      <c r="B156" s="2"/>
      <c r="F156" s="4"/>
      <c r="G156" s="3"/>
      <c r="N156" s="5"/>
    </row>
    <row r="157" spans="2:14">
      <c r="B157" s="2"/>
      <c r="F157" s="4"/>
      <c r="G157" s="3"/>
      <c r="N157" s="5"/>
    </row>
    <row r="158" spans="2:14">
      <c r="B158" s="2"/>
      <c r="F158" s="4"/>
      <c r="G158" s="3"/>
      <c r="N158" s="5"/>
    </row>
    <row r="159" spans="2:14">
      <c r="B159" s="2"/>
      <c r="F159" s="4"/>
      <c r="G159" s="3"/>
      <c r="N159" s="5"/>
    </row>
    <row r="160" spans="2:14">
      <c r="B160" s="2"/>
      <c r="F160" s="4"/>
      <c r="G160" s="3"/>
      <c r="N160" s="5"/>
    </row>
    <row r="161" spans="2:14">
      <c r="B161" s="2"/>
      <c r="F161" s="4"/>
      <c r="G161" s="3"/>
      <c r="N161" s="5"/>
    </row>
    <row r="162" spans="2:14">
      <c r="B162" s="2"/>
      <c r="F162" s="4"/>
      <c r="G162" s="3"/>
      <c r="N162" s="5"/>
    </row>
    <row r="163" spans="2:14">
      <c r="B163" s="2"/>
      <c r="F163" s="4"/>
      <c r="G163" s="3"/>
      <c r="N163" s="5"/>
    </row>
    <row r="164" spans="2:14">
      <c r="B164" s="2"/>
      <c r="F164" s="4"/>
      <c r="G164" s="3"/>
      <c r="N164" s="5"/>
    </row>
    <row r="165" spans="2:14">
      <c r="B165" s="2"/>
      <c r="F165" s="4"/>
      <c r="G165" s="3"/>
      <c r="N165" s="5"/>
    </row>
    <row r="166" spans="2:14">
      <c r="B166" s="2"/>
      <c r="F166" s="4"/>
      <c r="G166" s="3"/>
      <c r="N166" s="5"/>
    </row>
    <row r="167" spans="2:14">
      <c r="B167" s="2"/>
      <c r="F167" s="4"/>
      <c r="G167" s="3"/>
      <c r="N167" s="5"/>
    </row>
    <row r="168" spans="2:14">
      <c r="B168" s="2"/>
      <c r="F168" s="4"/>
      <c r="G168" s="3"/>
      <c r="N168" s="5"/>
    </row>
    <row r="169" spans="2:14">
      <c r="B169" s="2"/>
      <c r="F169" s="4"/>
      <c r="G169" s="3"/>
      <c r="N169" s="5"/>
    </row>
    <row r="170" spans="2:14">
      <c r="B170" s="2"/>
      <c r="F170" s="4"/>
      <c r="G170" s="3"/>
      <c r="N170" s="5"/>
    </row>
    <row r="171" spans="2:14">
      <c r="B171" s="2"/>
      <c r="F171" s="4"/>
      <c r="G171" s="3"/>
      <c r="N171" s="5"/>
    </row>
    <row r="172" spans="2:14">
      <c r="B172" s="2"/>
      <c r="F172" s="4"/>
      <c r="G172" s="3"/>
      <c r="N172" s="5"/>
    </row>
    <row r="173" spans="2:14">
      <c r="B173" s="2"/>
      <c r="F173" s="4"/>
      <c r="G173" s="3"/>
      <c r="N173" s="5"/>
    </row>
    <row r="174" spans="2:14">
      <c r="B174" s="2"/>
      <c r="F174" s="4"/>
      <c r="G174" s="3"/>
      <c r="N174" s="5"/>
    </row>
    <row r="175" spans="2:14">
      <c r="B175" s="2"/>
      <c r="F175" s="4"/>
      <c r="G175" s="3"/>
      <c r="N175" s="5"/>
    </row>
    <row r="176" spans="2:14">
      <c r="B176" s="2"/>
      <c r="F176" s="4"/>
      <c r="G176" s="3"/>
      <c r="N176" s="5"/>
    </row>
    <row r="177" spans="2:14">
      <c r="B177" s="2"/>
      <c r="F177" s="4"/>
      <c r="G177" s="3"/>
      <c r="N177" s="5"/>
    </row>
    <row r="178" spans="2:14">
      <c r="B178" s="2"/>
      <c r="F178" s="4"/>
      <c r="G178" s="3"/>
      <c r="N178" s="5"/>
    </row>
    <row r="179" spans="2:14">
      <c r="B179" s="2"/>
      <c r="F179" s="4"/>
      <c r="G179" s="3"/>
      <c r="N179" s="5"/>
    </row>
    <row r="180" spans="2:14">
      <c r="B180" s="2"/>
      <c r="F180" s="4"/>
      <c r="G180" s="3"/>
      <c r="N180" s="5"/>
    </row>
    <row r="181" spans="2:14">
      <c r="B181" s="2"/>
      <c r="F181" s="4"/>
      <c r="G181" s="3"/>
      <c r="N181" s="5"/>
    </row>
    <row r="182" spans="2:14">
      <c r="B182" s="2"/>
      <c r="F182" s="4"/>
      <c r="G182" s="3"/>
      <c r="N182" s="5"/>
    </row>
    <row r="183" spans="2:14">
      <c r="B183" s="2"/>
      <c r="F183" s="4"/>
      <c r="G183" s="3"/>
      <c r="N183" s="5"/>
    </row>
    <row r="184" spans="2:14">
      <c r="B184" s="2"/>
      <c r="F184" s="4"/>
      <c r="G184" s="3"/>
      <c r="N184" s="5"/>
    </row>
    <row r="185" spans="2:14">
      <c r="B185" s="2"/>
      <c r="F185" s="4"/>
      <c r="G185" s="3"/>
      <c r="N185" s="5"/>
    </row>
    <row r="186" spans="2:14">
      <c r="B186" s="2"/>
      <c r="F186" s="4"/>
      <c r="G186" s="3"/>
      <c r="N186" s="5"/>
    </row>
    <row r="187" spans="2:14">
      <c r="B187" s="2"/>
      <c r="F187" s="4"/>
      <c r="G187" s="3"/>
      <c r="N187" s="5"/>
    </row>
    <row r="188" spans="2:14">
      <c r="B188" s="2"/>
      <c r="F188" s="4"/>
      <c r="G188" s="3"/>
      <c r="N188" s="5"/>
    </row>
    <row r="189" spans="2:14">
      <c r="B189" s="2"/>
      <c r="F189" s="4"/>
      <c r="G189" s="3"/>
      <c r="N189" s="5"/>
    </row>
    <row r="190" spans="2:14">
      <c r="B190" s="2"/>
      <c r="F190" s="4"/>
      <c r="G190" s="3"/>
      <c r="N190" s="5"/>
    </row>
    <row r="191" spans="2:14">
      <c r="B191" s="2"/>
      <c r="F191" s="4"/>
      <c r="G191" s="3"/>
      <c r="N191" s="5"/>
    </row>
    <row r="192" spans="2:14">
      <c r="B192" s="2"/>
      <c r="F192" s="4"/>
      <c r="G192" s="3"/>
      <c r="N192" s="5"/>
    </row>
    <row r="193" spans="2:14">
      <c r="B193" s="2"/>
      <c r="F193" s="4"/>
      <c r="G193" s="3"/>
      <c r="N193" s="5"/>
    </row>
    <row r="194" spans="2:14">
      <c r="B194" s="2"/>
      <c r="F194" s="4"/>
      <c r="G194" s="3"/>
      <c r="N194" s="5"/>
    </row>
    <row r="195" spans="2:14">
      <c r="B195" s="2"/>
      <c r="F195" s="4"/>
      <c r="G195" s="3"/>
      <c r="N195" s="5"/>
    </row>
    <row r="196" spans="2:14">
      <c r="B196" s="2"/>
      <c r="F196" s="4"/>
      <c r="G196" s="3"/>
      <c r="N196" s="5"/>
    </row>
    <row r="197" spans="2:14">
      <c r="B197" s="2"/>
      <c r="F197" s="4"/>
      <c r="G197" s="3"/>
      <c r="N197" s="5"/>
    </row>
    <row r="198" spans="2:14">
      <c r="B198" s="2"/>
      <c r="F198" s="4"/>
      <c r="G198" s="3"/>
      <c r="N198" s="5"/>
    </row>
    <row r="199" spans="2:14">
      <c r="B199" s="2"/>
      <c r="F199" s="4"/>
      <c r="G199" s="3"/>
      <c r="N199" s="5"/>
    </row>
    <row r="200" spans="2:14">
      <c r="B200" s="2"/>
      <c r="F200" s="4"/>
      <c r="G200" s="3"/>
      <c r="N200" s="5"/>
    </row>
    <row r="201" spans="2:14">
      <c r="B201" s="2"/>
      <c r="F201" s="4"/>
      <c r="G201" s="3"/>
      <c r="N201" s="5"/>
    </row>
    <row r="202" spans="2:14">
      <c r="B202" s="2"/>
      <c r="F202" s="4"/>
      <c r="G202" s="3"/>
      <c r="N202" s="5"/>
    </row>
    <row r="203" spans="2:14">
      <c r="B203" s="2"/>
      <c r="F203" s="4"/>
      <c r="G203" s="3"/>
      <c r="N203" s="5"/>
    </row>
    <row r="204" spans="2:14">
      <c r="B204" s="2"/>
      <c r="F204" s="4"/>
      <c r="G204" s="3"/>
      <c r="N204" s="5"/>
    </row>
    <row r="205" spans="2:14">
      <c r="B205" s="2"/>
      <c r="F205" s="4"/>
      <c r="G205" s="3"/>
      <c r="N205" s="5"/>
    </row>
    <row r="206" spans="2:14">
      <c r="B206" s="2"/>
      <c r="F206" s="4"/>
      <c r="G206" s="3"/>
      <c r="N206" s="5"/>
    </row>
    <row r="207" spans="2:14">
      <c r="B207" s="2"/>
      <c r="F207" s="4"/>
      <c r="G207" s="3"/>
      <c r="N207" s="5"/>
    </row>
    <row r="208" spans="2:14">
      <c r="B208" s="2"/>
      <c r="F208" s="4"/>
      <c r="G208" s="3"/>
      <c r="N208" s="5"/>
    </row>
    <row r="209" spans="2:14">
      <c r="B209" s="2"/>
      <c r="F209" s="4"/>
      <c r="G209" s="3"/>
      <c r="N209" s="5"/>
    </row>
    <row r="210" spans="2:14">
      <c r="B210" s="2"/>
      <c r="F210" s="4"/>
      <c r="G210" s="3"/>
      <c r="N210" s="5"/>
    </row>
    <row r="211" spans="2:14">
      <c r="B211" s="2"/>
      <c r="F211" s="4"/>
      <c r="G211" s="3"/>
      <c r="N211" s="5"/>
    </row>
    <row r="212" spans="2:14">
      <c r="B212" s="2"/>
      <c r="F212" s="4"/>
      <c r="G212" s="3"/>
      <c r="N212" s="5"/>
    </row>
    <row r="213" spans="2:14">
      <c r="B213" s="2"/>
      <c r="F213" s="4"/>
      <c r="G213" s="3"/>
      <c r="N213" s="5"/>
    </row>
    <row r="214" spans="2:14">
      <c r="B214" s="2"/>
      <c r="F214" s="4"/>
      <c r="G214" s="3"/>
      <c r="N214" s="5"/>
    </row>
    <row r="215" spans="2:14">
      <c r="B215" s="2"/>
      <c r="F215" s="4"/>
      <c r="G215" s="3"/>
      <c r="N215" s="5"/>
    </row>
    <row r="216" spans="2:14">
      <c r="B216" s="2"/>
      <c r="F216" s="4"/>
      <c r="G216" s="3"/>
      <c r="N216" s="5"/>
    </row>
    <row r="217" spans="2:14">
      <c r="B217" s="2"/>
      <c r="F217" s="4"/>
      <c r="G217" s="3"/>
      <c r="N217" s="5"/>
    </row>
    <row r="218" spans="2:14">
      <c r="B218" s="2"/>
      <c r="F218" s="4"/>
      <c r="G218" s="3"/>
      <c r="N218" s="5"/>
    </row>
    <row r="219" spans="2:14">
      <c r="B219" s="2"/>
      <c r="F219" s="4"/>
      <c r="G219" s="3"/>
      <c r="N219" s="5"/>
    </row>
    <row r="220" spans="2:14">
      <c r="B220" s="2"/>
      <c r="F220" s="4"/>
      <c r="G220" s="3"/>
      <c r="N220" s="5"/>
    </row>
    <row r="221" spans="2:14">
      <c r="B221" s="2"/>
      <c r="F221" s="4"/>
      <c r="G221" s="3"/>
      <c r="N221" s="5"/>
    </row>
    <row r="222" spans="2:14">
      <c r="B222" s="2"/>
      <c r="F222" s="4"/>
      <c r="G222" s="3"/>
      <c r="N222" s="5"/>
    </row>
    <row r="223" spans="2:14">
      <c r="B223" s="2"/>
      <c r="F223" s="4"/>
      <c r="G223" s="3"/>
      <c r="N223" s="5"/>
    </row>
    <row r="224" spans="2:14">
      <c r="B224" s="2"/>
      <c r="F224" s="4"/>
      <c r="G224" s="3"/>
      <c r="N224" s="5"/>
    </row>
    <row r="225" spans="2:14">
      <c r="B225" s="2"/>
      <c r="F225" s="4"/>
      <c r="G225" s="3"/>
      <c r="N225" s="5"/>
    </row>
    <row r="226" spans="2:14">
      <c r="B226" s="2"/>
      <c r="F226" s="4"/>
      <c r="G226" s="3"/>
      <c r="N226" s="5"/>
    </row>
    <row r="227" spans="2:14">
      <c r="B227" s="2"/>
      <c r="F227" s="4"/>
      <c r="G227" s="3"/>
      <c r="N227" s="5"/>
    </row>
    <row r="228" spans="2:14">
      <c r="B228" s="2"/>
      <c r="F228" s="4"/>
      <c r="G228" s="3"/>
      <c r="N228" s="5"/>
    </row>
    <row r="229" spans="2:14">
      <c r="B229" s="2"/>
      <c r="F229" s="4"/>
      <c r="G229" s="3"/>
      <c r="N229" s="5"/>
    </row>
    <row r="230" spans="2:14">
      <c r="B230" s="2"/>
      <c r="F230" s="4"/>
      <c r="G230" s="3"/>
      <c r="N230" s="5"/>
    </row>
    <row r="231" spans="2:14">
      <c r="B231" s="2"/>
      <c r="F231" s="4"/>
      <c r="G231" s="3"/>
      <c r="N231" s="5"/>
    </row>
    <row r="232" spans="2:14">
      <c r="B232" s="2"/>
      <c r="F232" s="4"/>
      <c r="G232" s="3"/>
      <c r="N232" s="5"/>
    </row>
    <row r="233" spans="2:14">
      <c r="B233" s="2"/>
      <c r="F233" s="4"/>
      <c r="G233" s="3"/>
      <c r="N233" s="5"/>
    </row>
    <row r="234" spans="2:14">
      <c r="B234" s="2"/>
      <c r="F234" s="4"/>
      <c r="G234" s="3"/>
      <c r="N234" s="5"/>
    </row>
    <row r="235" spans="2:14">
      <c r="B235" s="2"/>
      <c r="F235" s="4"/>
      <c r="G235" s="3"/>
      <c r="N235" s="5"/>
    </row>
    <row r="236" spans="2:14">
      <c r="B236" s="2"/>
      <c r="F236" s="4"/>
      <c r="G236" s="3"/>
      <c r="N236" s="5"/>
    </row>
    <row r="237" spans="2:14">
      <c r="B237" s="2"/>
      <c r="F237" s="4"/>
      <c r="G237" s="3"/>
      <c r="N237" s="5"/>
    </row>
    <row r="238" spans="2:14">
      <c r="B238" s="2"/>
      <c r="F238" s="4"/>
      <c r="G238" s="3"/>
      <c r="N238" s="5"/>
    </row>
    <row r="239" spans="2:14">
      <c r="B239" s="2"/>
      <c r="F239" s="4"/>
      <c r="G239" s="3"/>
      <c r="N239" s="5"/>
    </row>
    <row r="240" spans="2:14">
      <c r="B240" s="2"/>
      <c r="F240" s="4"/>
      <c r="G240" s="3"/>
      <c r="N240" s="5"/>
    </row>
    <row r="241" spans="2:14">
      <c r="B241" s="2"/>
      <c r="F241" s="4"/>
      <c r="G241" s="3"/>
      <c r="N241" s="5"/>
    </row>
    <row r="242" spans="2:14">
      <c r="B242" s="2"/>
      <c r="F242" s="4"/>
      <c r="G242" s="3"/>
      <c r="N242" s="5"/>
    </row>
    <row r="243" spans="2:14">
      <c r="B243" s="2"/>
      <c r="F243" s="4"/>
      <c r="G243" s="3"/>
      <c r="N243" s="5"/>
    </row>
    <row r="244" spans="2:14">
      <c r="B244" s="2"/>
      <c r="F244" s="4"/>
      <c r="G244" s="3"/>
      <c r="N244" s="5"/>
    </row>
    <row r="245" spans="2:14">
      <c r="B245" s="2"/>
      <c r="F245" s="4"/>
      <c r="G245" s="3"/>
      <c r="N245" s="5"/>
    </row>
    <row r="246" spans="2:14">
      <c r="B246" s="2"/>
      <c r="F246" s="4"/>
      <c r="G246" s="3"/>
      <c r="N246" s="5"/>
    </row>
    <row r="247" spans="2:14">
      <c r="B247" s="2"/>
      <c r="F247" s="4"/>
      <c r="G247" s="3"/>
      <c r="N247" s="5"/>
    </row>
    <row r="248" spans="2:14">
      <c r="B248" s="2"/>
      <c r="F248" s="4"/>
      <c r="G248" s="3"/>
      <c r="N248" s="5"/>
    </row>
    <row r="249" spans="2:14">
      <c r="B249" s="2"/>
      <c r="F249" s="4"/>
      <c r="G249" s="3"/>
      <c r="N249" s="5"/>
    </row>
    <row r="250" spans="2:14">
      <c r="B250" s="2"/>
      <c r="F250" s="4"/>
      <c r="G250" s="3"/>
      <c r="N250" s="5"/>
    </row>
    <row r="251" spans="2:14">
      <c r="B251" s="2"/>
      <c r="F251" s="4"/>
      <c r="G251" s="3"/>
      <c r="N251" s="5"/>
    </row>
    <row r="252" spans="2:14">
      <c r="B252" s="2"/>
      <c r="F252" s="4"/>
      <c r="G252" s="3"/>
      <c r="N252" s="5"/>
    </row>
    <row r="253" spans="2:14">
      <c r="B253" s="2"/>
      <c r="F253" s="4"/>
      <c r="G253" s="3"/>
      <c r="N253" s="5"/>
    </row>
    <row r="254" spans="2:14">
      <c r="B254" s="2"/>
      <c r="F254" s="4"/>
      <c r="G254" s="3"/>
      <c r="N254" s="5"/>
    </row>
    <row r="255" spans="2:14">
      <c r="B255" s="2"/>
      <c r="F255" s="4"/>
      <c r="G255" s="3"/>
      <c r="N255" s="5"/>
    </row>
    <row r="256" spans="2:14">
      <c r="B256" s="2"/>
      <c r="F256" s="4"/>
      <c r="G256" s="3"/>
      <c r="N256" s="5"/>
    </row>
    <row r="257" spans="2:14">
      <c r="B257" s="2"/>
      <c r="F257" s="4"/>
      <c r="G257" s="3"/>
      <c r="N257" s="5"/>
    </row>
    <row r="258" spans="2:14">
      <c r="B258" s="2"/>
      <c r="F258" s="4"/>
      <c r="G258" s="3"/>
      <c r="N258" s="5"/>
    </row>
    <row r="259" spans="2:14">
      <c r="B259" s="2"/>
      <c r="F259" s="4"/>
      <c r="G259" s="3"/>
      <c r="N259" s="5"/>
    </row>
    <row r="260" spans="2:14">
      <c r="B260" s="2"/>
      <c r="F260" s="4"/>
      <c r="G260" s="3"/>
      <c r="N260" s="5"/>
    </row>
    <row r="261" spans="2:14">
      <c r="B261" s="2"/>
      <c r="F261" s="4"/>
      <c r="G261" s="3"/>
      <c r="N261" s="5"/>
    </row>
    <row r="262" spans="2:14">
      <c r="B262" s="2"/>
      <c r="F262" s="4"/>
      <c r="G262" s="3"/>
      <c r="N262" s="5"/>
    </row>
    <row r="263" spans="2:14">
      <c r="B263" s="2"/>
      <c r="F263" s="4"/>
      <c r="G263" s="3"/>
      <c r="N263" s="5"/>
    </row>
    <row r="264" spans="2:14">
      <c r="B264" s="2"/>
      <c r="F264" s="4"/>
      <c r="G264" s="3"/>
      <c r="N264" s="5"/>
    </row>
    <row r="265" spans="2:14">
      <c r="B265" s="2"/>
      <c r="F265" s="4"/>
      <c r="G265" s="3"/>
      <c r="N265" s="5"/>
    </row>
    <row r="266" spans="2:14">
      <c r="B266" s="2"/>
      <c r="F266" s="4"/>
      <c r="G266" s="3"/>
      <c r="N266" s="5"/>
    </row>
    <row r="267" spans="2:14">
      <c r="B267" s="2"/>
      <c r="F267" s="4"/>
      <c r="G267" s="3"/>
      <c r="N267" s="5"/>
    </row>
    <row r="268" spans="2:14">
      <c r="B268" s="2"/>
      <c r="F268" s="4"/>
      <c r="G268" s="3"/>
      <c r="N268" s="5"/>
    </row>
    <row r="269" spans="2:14">
      <c r="B269" s="2"/>
      <c r="F269" s="4"/>
      <c r="G269" s="3"/>
      <c r="N269" s="5"/>
    </row>
    <row r="270" spans="2:14">
      <c r="B270" s="2"/>
      <c r="F270" s="4"/>
      <c r="G270" s="3"/>
      <c r="N270" s="5"/>
    </row>
    <row r="271" spans="2:14">
      <c r="B271" s="2"/>
      <c r="F271" s="4"/>
      <c r="G271" s="3"/>
      <c r="N271" s="5"/>
    </row>
    <row r="272" spans="2:14">
      <c r="B272" s="2"/>
      <c r="F272" s="4"/>
      <c r="G272" s="3"/>
      <c r="N272" s="5"/>
    </row>
    <row r="273" spans="2:14">
      <c r="B273" s="2"/>
      <c r="F273" s="4"/>
      <c r="G273" s="3"/>
      <c r="N273" s="5"/>
    </row>
    <row r="274" spans="2:14">
      <c r="B274" s="2"/>
      <c r="F274" s="4"/>
      <c r="G274" s="3"/>
      <c r="N274" s="5"/>
    </row>
    <row r="275" spans="2:14">
      <c r="B275" s="2"/>
      <c r="F275" s="4"/>
      <c r="G275" s="3"/>
      <c r="N275" s="5"/>
    </row>
    <row r="276" spans="2:14">
      <c r="B276" s="2"/>
      <c r="F276" s="4"/>
      <c r="G276" s="3"/>
      <c r="N276" s="5"/>
    </row>
    <row r="277" spans="2:14">
      <c r="B277" s="2"/>
      <c r="F277" s="4"/>
      <c r="G277" s="3"/>
      <c r="N277" s="5"/>
    </row>
    <row r="278" spans="2:14">
      <c r="B278" s="2"/>
      <c r="F278" s="4"/>
      <c r="G278" s="3"/>
      <c r="N278" s="5"/>
    </row>
    <row r="279" spans="2:14">
      <c r="B279" s="2"/>
      <c r="F279" s="4"/>
      <c r="G279" s="3"/>
      <c r="N279" s="5"/>
    </row>
    <row r="280" spans="2:14">
      <c r="B280" s="2"/>
      <c r="F280" s="4"/>
      <c r="G280" s="3"/>
      <c r="N280" s="5"/>
    </row>
    <row r="281" spans="2:14">
      <c r="B281" s="2"/>
      <c r="F281" s="4"/>
      <c r="G281" s="3"/>
      <c r="N281" s="5"/>
    </row>
    <row r="282" spans="2:14">
      <c r="B282" s="2"/>
      <c r="F282" s="4"/>
      <c r="G282" s="3"/>
      <c r="N282" s="5"/>
    </row>
    <row r="283" spans="2:14">
      <c r="B283" s="2"/>
      <c r="F283" s="4"/>
      <c r="G283" s="3"/>
      <c r="N283" s="5"/>
    </row>
    <row r="284" spans="2:14">
      <c r="B284" s="2"/>
      <c r="F284" s="4"/>
      <c r="G284" s="3"/>
      <c r="N284" s="5"/>
    </row>
    <row r="285" spans="2:14">
      <c r="B285" s="2"/>
      <c r="F285" s="4"/>
      <c r="G285" s="3"/>
      <c r="N285" s="5"/>
    </row>
    <row r="286" spans="2:14">
      <c r="B286" s="2"/>
      <c r="F286" s="4"/>
      <c r="G286" s="3"/>
      <c r="N286" s="5"/>
    </row>
    <row r="287" spans="2:14">
      <c r="B287" s="2"/>
      <c r="F287" s="4"/>
      <c r="G287" s="3"/>
      <c r="N287" s="5"/>
    </row>
    <row r="288" spans="2:14">
      <c r="B288" s="2"/>
      <c r="F288" s="4"/>
      <c r="G288" s="3"/>
      <c r="N288" s="5"/>
    </row>
    <row r="289" spans="2:14">
      <c r="B289" s="2"/>
      <c r="F289" s="4"/>
      <c r="G289" s="3"/>
      <c r="N289" s="5"/>
    </row>
    <row r="290" spans="2:14">
      <c r="B290" s="2"/>
      <c r="F290" s="4"/>
      <c r="G290" s="3"/>
      <c r="N290" s="5"/>
    </row>
    <row r="291" spans="2:14">
      <c r="B291" s="2"/>
      <c r="F291" s="4"/>
      <c r="G291" s="3"/>
      <c r="N291" s="5"/>
    </row>
    <row r="292" spans="2:14">
      <c r="B292" s="2"/>
      <c r="F292" s="4"/>
      <c r="G292" s="3"/>
      <c r="N292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0BC7-CC1D-46EC-838C-4702AAD9662A}">
  <dimension ref="A1:P292"/>
  <sheetViews>
    <sheetView tabSelected="1" zoomScale="80" zoomScaleNormal="80" workbookViewId="0">
      <pane ySplit="1" topLeftCell="A56" activePane="bottomLeft" state="frozen"/>
      <selection activeCell="S13" sqref="S13:S34"/>
      <selection pane="bottomLeft" activeCell="G2" sqref="G2:G292"/>
    </sheetView>
  </sheetViews>
  <sheetFormatPr baseColWidth="10" defaultColWidth="8.83203125" defaultRowHeight="15"/>
  <cols>
    <col min="1" max="14" width="20" customWidth="1"/>
  </cols>
  <sheetData>
    <row r="1" spans="1:16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35</v>
      </c>
    </row>
    <row r="2" spans="1:16">
      <c r="B2" s="2">
        <v>353</v>
      </c>
      <c r="C2">
        <v>13</v>
      </c>
      <c r="E2" s="19">
        <v>2496</v>
      </c>
      <c r="F2" s="4">
        <v>16</v>
      </c>
      <c r="G2" s="3">
        <v>46023</v>
      </c>
      <c r="H2">
        <v>3</v>
      </c>
      <c r="I2" s="1"/>
      <c r="J2" s="1"/>
      <c r="K2" s="1"/>
      <c r="L2" s="1"/>
      <c r="M2" s="5">
        <v>1</v>
      </c>
      <c r="N2" s="5">
        <v>0</v>
      </c>
      <c r="O2" s="5">
        <v>0</v>
      </c>
    </row>
    <row r="3" spans="1:16">
      <c r="B3" s="2">
        <v>353</v>
      </c>
      <c r="C3">
        <v>13</v>
      </c>
      <c r="E3" s="19">
        <v>2496</v>
      </c>
      <c r="F3" s="4">
        <v>16</v>
      </c>
      <c r="G3" s="3">
        <v>46023</v>
      </c>
      <c r="H3">
        <v>4</v>
      </c>
      <c r="M3">
        <v>1</v>
      </c>
      <c r="N3" s="5">
        <v>0</v>
      </c>
      <c r="O3">
        <v>0</v>
      </c>
    </row>
    <row r="4" spans="1:16">
      <c r="B4" s="2">
        <v>353</v>
      </c>
      <c r="C4">
        <v>13</v>
      </c>
      <c r="E4" s="19">
        <v>2496</v>
      </c>
      <c r="F4" s="4">
        <v>16</v>
      </c>
      <c r="G4" s="3">
        <v>46023</v>
      </c>
      <c r="H4">
        <v>5</v>
      </c>
      <c r="M4">
        <v>1</v>
      </c>
      <c r="N4" s="5">
        <v>0</v>
      </c>
      <c r="O4">
        <v>0</v>
      </c>
    </row>
    <row r="5" spans="1:16">
      <c r="B5" s="2">
        <v>353</v>
      </c>
      <c r="C5">
        <v>13</v>
      </c>
      <c r="E5" s="19">
        <v>2496</v>
      </c>
      <c r="F5" s="4">
        <f t="shared" ref="F3:F66" si="0">ROUNDUP(E5/156,2)</f>
        <v>16</v>
      </c>
      <c r="G5" s="3">
        <v>46023</v>
      </c>
      <c r="H5">
        <v>6</v>
      </c>
      <c r="M5">
        <v>1</v>
      </c>
      <c r="N5" s="5">
        <v>0</v>
      </c>
      <c r="O5">
        <v>0</v>
      </c>
    </row>
    <row r="6" spans="1:16">
      <c r="B6" s="2">
        <v>353</v>
      </c>
      <c r="C6">
        <v>13</v>
      </c>
      <c r="E6" s="22">
        <v>2543</v>
      </c>
      <c r="F6" s="4">
        <f t="shared" si="0"/>
        <v>16.310000000000002</v>
      </c>
      <c r="G6" s="3">
        <v>46023</v>
      </c>
      <c r="H6">
        <v>7</v>
      </c>
      <c r="M6">
        <v>1</v>
      </c>
      <c r="N6" s="5">
        <v>0</v>
      </c>
      <c r="O6">
        <v>0</v>
      </c>
    </row>
    <row r="7" spans="1:16">
      <c r="B7" s="2">
        <v>353</v>
      </c>
      <c r="C7">
        <v>13</v>
      </c>
      <c r="E7" s="22">
        <v>2591</v>
      </c>
      <c r="F7" s="4">
        <f t="shared" si="0"/>
        <v>16.610000000000003</v>
      </c>
      <c r="G7" s="3">
        <v>46023</v>
      </c>
      <c r="H7">
        <v>8</v>
      </c>
      <c r="M7">
        <v>1</v>
      </c>
      <c r="N7" s="5">
        <v>0</v>
      </c>
      <c r="O7">
        <v>0</v>
      </c>
    </row>
    <row r="8" spans="1:16">
      <c r="B8" s="2">
        <v>353</v>
      </c>
      <c r="C8">
        <v>13</v>
      </c>
      <c r="E8" s="22">
        <v>2639</v>
      </c>
      <c r="F8" s="4">
        <f t="shared" si="0"/>
        <v>16.920000000000002</v>
      </c>
      <c r="G8" s="3">
        <v>46023</v>
      </c>
      <c r="H8">
        <v>9</v>
      </c>
      <c r="M8">
        <v>1</v>
      </c>
      <c r="N8" s="5">
        <v>0</v>
      </c>
      <c r="O8">
        <v>0</v>
      </c>
    </row>
    <row r="9" spans="1:16">
      <c r="B9" s="2">
        <v>353</v>
      </c>
      <c r="C9">
        <v>13</v>
      </c>
      <c r="E9" s="22">
        <v>2686</v>
      </c>
      <c r="F9" s="4">
        <f t="shared" si="0"/>
        <v>17.220000000000002</v>
      </c>
      <c r="G9" s="3">
        <v>46023</v>
      </c>
      <c r="H9">
        <v>10</v>
      </c>
      <c r="M9">
        <v>1</v>
      </c>
      <c r="N9" s="5">
        <v>0</v>
      </c>
      <c r="O9">
        <v>0</v>
      </c>
    </row>
    <row r="10" spans="1:16">
      <c r="B10" s="2">
        <v>353</v>
      </c>
      <c r="C10">
        <v>13</v>
      </c>
      <c r="E10" s="22">
        <v>2734</v>
      </c>
      <c r="F10" s="4">
        <f t="shared" si="0"/>
        <v>17.53</v>
      </c>
      <c r="G10" s="3">
        <v>46023</v>
      </c>
      <c r="H10">
        <v>11</v>
      </c>
      <c r="M10">
        <v>1</v>
      </c>
      <c r="N10" s="5">
        <v>0</v>
      </c>
      <c r="O10">
        <v>0</v>
      </c>
    </row>
    <row r="11" spans="1:16">
      <c r="B11" s="2">
        <v>353</v>
      </c>
      <c r="C11">
        <v>13</v>
      </c>
      <c r="E11" s="20">
        <v>2496</v>
      </c>
      <c r="F11" s="4">
        <v>16</v>
      </c>
      <c r="G11" s="3">
        <v>46023</v>
      </c>
      <c r="H11">
        <v>2</v>
      </c>
      <c r="M11">
        <v>2</v>
      </c>
      <c r="N11" s="1">
        <v>0</v>
      </c>
      <c r="O11">
        <v>0</v>
      </c>
    </row>
    <row r="12" spans="1:16">
      <c r="B12" s="2">
        <v>353</v>
      </c>
      <c r="C12">
        <v>13</v>
      </c>
      <c r="E12" s="20">
        <v>2496</v>
      </c>
      <c r="F12" s="4">
        <v>16</v>
      </c>
      <c r="G12" s="3">
        <v>46023</v>
      </c>
      <c r="H12">
        <v>3</v>
      </c>
      <c r="M12">
        <v>2</v>
      </c>
      <c r="N12" s="1">
        <v>0</v>
      </c>
      <c r="O12">
        <v>0</v>
      </c>
    </row>
    <row r="13" spans="1:16">
      <c r="B13" s="2">
        <v>353</v>
      </c>
      <c r="C13">
        <v>13</v>
      </c>
      <c r="E13" s="21">
        <v>2519</v>
      </c>
      <c r="F13" s="4">
        <f t="shared" si="0"/>
        <v>16.150000000000002</v>
      </c>
      <c r="G13" s="3">
        <v>46023</v>
      </c>
      <c r="H13">
        <v>4</v>
      </c>
      <c r="M13">
        <v>2</v>
      </c>
      <c r="N13" s="1">
        <v>0</v>
      </c>
      <c r="O13">
        <v>0</v>
      </c>
    </row>
    <row r="14" spans="1:16">
      <c r="B14" s="2">
        <v>353</v>
      </c>
      <c r="C14">
        <v>13</v>
      </c>
      <c r="E14" s="21">
        <v>2585</v>
      </c>
      <c r="F14" s="4">
        <f t="shared" si="0"/>
        <v>16.580000000000002</v>
      </c>
      <c r="G14" s="3">
        <v>46023</v>
      </c>
      <c r="H14">
        <v>5</v>
      </c>
      <c r="M14">
        <v>2</v>
      </c>
      <c r="N14" s="1">
        <v>0</v>
      </c>
      <c r="O14">
        <v>0</v>
      </c>
    </row>
    <row r="15" spans="1:16">
      <c r="B15" s="2">
        <v>353</v>
      </c>
      <c r="C15">
        <v>13</v>
      </c>
      <c r="E15" s="21">
        <v>2650</v>
      </c>
      <c r="F15" s="4">
        <f t="shared" si="0"/>
        <v>16.990000000000002</v>
      </c>
      <c r="G15" s="3">
        <v>46023</v>
      </c>
      <c r="H15">
        <v>6</v>
      </c>
      <c r="M15">
        <v>2</v>
      </c>
      <c r="N15" s="1">
        <v>0</v>
      </c>
      <c r="O15">
        <v>0</v>
      </c>
    </row>
    <row r="16" spans="1:16">
      <c r="B16" s="2">
        <v>353</v>
      </c>
      <c r="C16">
        <v>13</v>
      </c>
      <c r="E16" s="21">
        <v>2715</v>
      </c>
      <c r="F16" s="4">
        <f t="shared" si="0"/>
        <v>17.41</v>
      </c>
      <c r="G16" s="3">
        <v>46023</v>
      </c>
      <c r="H16">
        <v>7</v>
      </c>
      <c r="M16">
        <v>2</v>
      </c>
      <c r="N16" s="1">
        <v>0</v>
      </c>
      <c r="O16">
        <v>0</v>
      </c>
    </row>
    <row r="17" spans="2:15">
      <c r="B17" s="2">
        <v>353</v>
      </c>
      <c r="C17">
        <v>13</v>
      </c>
      <c r="E17" s="21">
        <v>2781</v>
      </c>
      <c r="F17" s="4">
        <f t="shared" si="0"/>
        <v>17.830000000000002</v>
      </c>
      <c r="G17" s="3">
        <v>46023</v>
      </c>
      <c r="H17">
        <v>8</v>
      </c>
      <c r="M17">
        <v>2</v>
      </c>
      <c r="N17" s="1">
        <v>0</v>
      </c>
      <c r="O17">
        <v>0</v>
      </c>
    </row>
    <row r="18" spans="2:15">
      <c r="B18" s="2">
        <v>353</v>
      </c>
      <c r="C18">
        <v>13</v>
      </c>
      <c r="E18" s="21">
        <v>2846</v>
      </c>
      <c r="F18" s="4">
        <f t="shared" si="0"/>
        <v>18.25</v>
      </c>
      <c r="G18" s="3">
        <v>46023</v>
      </c>
      <c r="H18">
        <v>9</v>
      </c>
      <c r="M18">
        <v>2</v>
      </c>
      <c r="N18" s="1">
        <v>0</v>
      </c>
      <c r="O18">
        <v>0</v>
      </c>
    </row>
    <row r="19" spans="2:15">
      <c r="B19" s="2">
        <v>353</v>
      </c>
      <c r="C19">
        <v>13</v>
      </c>
      <c r="E19" s="21">
        <v>2912</v>
      </c>
      <c r="F19" s="4">
        <f t="shared" si="0"/>
        <v>18.670000000000002</v>
      </c>
      <c r="G19" s="3">
        <v>46023</v>
      </c>
      <c r="H19">
        <v>10</v>
      </c>
      <c r="M19">
        <v>2</v>
      </c>
      <c r="N19" s="1">
        <v>0</v>
      </c>
      <c r="O19">
        <v>0</v>
      </c>
    </row>
    <row r="20" spans="2:15">
      <c r="B20" s="2">
        <v>353</v>
      </c>
      <c r="C20">
        <v>13</v>
      </c>
      <c r="E20" s="21">
        <v>2978</v>
      </c>
      <c r="F20" s="4">
        <f t="shared" si="0"/>
        <v>19.09</v>
      </c>
      <c r="G20" s="3">
        <v>46023</v>
      </c>
      <c r="H20">
        <v>11</v>
      </c>
      <c r="M20">
        <v>2</v>
      </c>
      <c r="N20" s="1">
        <v>0</v>
      </c>
      <c r="O20">
        <v>0</v>
      </c>
    </row>
    <row r="21" spans="2:15">
      <c r="B21" s="2">
        <v>353</v>
      </c>
      <c r="C21">
        <v>13</v>
      </c>
      <c r="E21" s="19">
        <v>2496</v>
      </c>
      <c r="F21" s="4">
        <v>16</v>
      </c>
      <c r="G21" s="3">
        <v>46023</v>
      </c>
      <c r="H21">
        <v>1</v>
      </c>
      <c r="M21">
        <v>3</v>
      </c>
      <c r="N21" s="1">
        <v>0</v>
      </c>
      <c r="O21">
        <v>0</v>
      </c>
    </row>
    <row r="22" spans="2:15">
      <c r="B22" s="2">
        <v>353</v>
      </c>
      <c r="C22">
        <v>13</v>
      </c>
      <c r="E22" s="19">
        <v>2496</v>
      </c>
      <c r="F22" s="4">
        <v>16</v>
      </c>
      <c r="G22" s="3">
        <v>46023</v>
      </c>
      <c r="H22">
        <v>2</v>
      </c>
      <c r="M22">
        <v>3</v>
      </c>
      <c r="N22" s="1">
        <v>0</v>
      </c>
      <c r="O22">
        <v>0</v>
      </c>
    </row>
    <row r="23" spans="2:15">
      <c r="B23" s="2">
        <v>353</v>
      </c>
      <c r="C23">
        <v>13</v>
      </c>
      <c r="E23" s="22">
        <v>2554</v>
      </c>
      <c r="F23" s="4">
        <f t="shared" si="0"/>
        <v>16.380000000000003</v>
      </c>
      <c r="G23" s="3">
        <v>46023</v>
      </c>
      <c r="H23">
        <v>3</v>
      </c>
      <c r="M23">
        <v>3</v>
      </c>
      <c r="N23" s="1">
        <v>0</v>
      </c>
      <c r="O23">
        <v>0</v>
      </c>
    </row>
    <row r="24" spans="2:15">
      <c r="B24" s="2">
        <v>353</v>
      </c>
      <c r="C24">
        <v>13</v>
      </c>
      <c r="E24" s="22">
        <v>2637</v>
      </c>
      <c r="F24" s="4">
        <f t="shared" si="0"/>
        <v>16.91</v>
      </c>
      <c r="G24" s="3">
        <v>46023</v>
      </c>
      <c r="H24">
        <v>4</v>
      </c>
      <c r="M24">
        <v>3</v>
      </c>
      <c r="N24" s="1">
        <v>0</v>
      </c>
      <c r="O24">
        <v>0</v>
      </c>
    </row>
    <row r="25" spans="2:15">
      <c r="B25" s="2">
        <v>353</v>
      </c>
      <c r="C25">
        <v>13</v>
      </c>
      <c r="E25" s="22">
        <v>2719</v>
      </c>
      <c r="F25" s="4">
        <f t="shared" si="0"/>
        <v>17.430000000000003</v>
      </c>
      <c r="G25" s="3">
        <v>46023</v>
      </c>
      <c r="H25">
        <v>5</v>
      </c>
      <c r="M25">
        <v>3</v>
      </c>
      <c r="N25" s="1">
        <v>0</v>
      </c>
      <c r="O25">
        <v>0</v>
      </c>
    </row>
    <row r="26" spans="2:15">
      <c r="B26" s="2">
        <v>353</v>
      </c>
      <c r="C26">
        <v>13</v>
      </c>
      <c r="E26" s="22">
        <v>2802</v>
      </c>
      <c r="F26" s="4">
        <f t="shared" si="0"/>
        <v>17.970000000000002</v>
      </c>
      <c r="G26" s="3">
        <v>46023</v>
      </c>
      <c r="H26">
        <v>6</v>
      </c>
      <c r="M26">
        <v>3</v>
      </c>
      <c r="N26" s="1">
        <v>0</v>
      </c>
      <c r="O26">
        <v>0</v>
      </c>
    </row>
    <row r="27" spans="2:15">
      <c r="B27" s="2">
        <v>353</v>
      </c>
      <c r="C27">
        <v>13</v>
      </c>
      <c r="E27" s="22">
        <v>2885</v>
      </c>
      <c r="F27" s="4">
        <f t="shared" si="0"/>
        <v>18.5</v>
      </c>
      <c r="G27" s="3">
        <v>46023</v>
      </c>
      <c r="H27">
        <v>7</v>
      </c>
      <c r="M27">
        <v>3</v>
      </c>
      <c r="N27" s="1">
        <v>0</v>
      </c>
      <c r="O27">
        <v>0</v>
      </c>
    </row>
    <row r="28" spans="2:15">
      <c r="B28" s="2">
        <v>353</v>
      </c>
      <c r="C28">
        <v>13</v>
      </c>
      <c r="E28" s="22">
        <v>2967</v>
      </c>
      <c r="F28" s="4">
        <f t="shared" si="0"/>
        <v>19.020000000000003</v>
      </c>
      <c r="G28" s="3">
        <v>46023</v>
      </c>
      <c r="H28">
        <v>8</v>
      </c>
      <c r="M28">
        <v>3</v>
      </c>
      <c r="N28" s="1">
        <v>0</v>
      </c>
      <c r="O28">
        <v>0</v>
      </c>
    </row>
    <row r="29" spans="2:15">
      <c r="B29" s="2">
        <v>353</v>
      </c>
      <c r="C29">
        <v>13</v>
      </c>
      <c r="E29" s="22">
        <v>3050</v>
      </c>
      <c r="F29" s="4">
        <f t="shared" si="0"/>
        <v>19.560000000000002</v>
      </c>
      <c r="G29" s="3">
        <v>46023</v>
      </c>
      <c r="H29">
        <v>9</v>
      </c>
      <c r="M29">
        <v>3</v>
      </c>
      <c r="N29" s="1">
        <v>0</v>
      </c>
      <c r="O29">
        <v>0</v>
      </c>
    </row>
    <row r="30" spans="2:15">
      <c r="B30" s="2">
        <v>353</v>
      </c>
      <c r="C30">
        <v>13</v>
      </c>
      <c r="E30" s="22">
        <v>3133</v>
      </c>
      <c r="F30" s="4">
        <f t="shared" si="0"/>
        <v>20.09</v>
      </c>
      <c r="G30" s="3">
        <v>46023</v>
      </c>
      <c r="H30">
        <v>10</v>
      </c>
      <c r="M30">
        <v>3</v>
      </c>
      <c r="N30" s="1">
        <v>0</v>
      </c>
      <c r="O30">
        <v>0</v>
      </c>
    </row>
    <row r="31" spans="2:15">
      <c r="B31" s="2">
        <v>353</v>
      </c>
      <c r="C31">
        <v>13</v>
      </c>
      <c r="E31" s="22">
        <v>3215</v>
      </c>
      <c r="F31" s="4">
        <f t="shared" si="0"/>
        <v>20.610000000000003</v>
      </c>
      <c r="G31" s="3">
        <v>46023</v>
      </c>
      <c r="H31">
        <v>11</v>
      </c>
      <c r="M31">
        <v>3</v>
      </c>
      <c r="N31" s="1">
        <v>0</v>
      </c>
      <c r="O31">
        <v>0</v>
      </c>
    </row>
    <row r="32" spans="2:15">
      <c r="B32" s="2">
        <v>353</v>
      </c>
      <c r="C32">
        <v>13</v>
      </c>
      <c r="E32" s="15">
        <v>2496</v>
      </c>
      <c r="F32" s="4">
        <v>16</v>
      </c>
      <c r="G32" s="3">
        <v>46023</v>
      </c>
      <c r="H32">
        <v>0</v>
      </c>
      <c r="M32">
        <v>4</v>
      </c>
      <c r="N32" s="1">
        <v>0</v>
      </c>
      <c r="O32">
        <v>0</v>
      </c>
    </row>
    <row r="33" spans="2:15">
      <c r="B33" s="2">
        <v>353</v>
      </c>
      <c r="C33">
        <v>13</v>
      </c>
      <c r="E33" s="20">
        <v>2496</v>
      </c>
      <c r="F33" s="4">
        <v>16</v>
      </c>
      <c r="G33" s="3">
        <v>46023</v>
      </c>
      <c r="H33">
        <v>1</v>
      </c>
      <c r="M33">
        <v>4</v>
      </c>
      <c r="N33" s="1">
        <v>0</v>
      </c>
      <c r="O33">
        <v>0</v>
      </c>
    </row>
    <row r="34" spans="2:15">
      <c r="B34" s="2">
        <v>353</v>
      </c>
      <c r="C34">
        <v>13</v>
      </c>
      <c r="E34" s="21">
        <v>2547</v>
      </c>
      <c r="F34" s="4">
        <f t="shared" si="0"/>
        <v>16.330000000000002</v>
      </c>
      <c r="G34" s="3">
        <v>46023</v>
      </c>
      <c r="H34">
        <v>2</v>
      </c>
      <c r="M34">
        <v>4</v>
      </c>
      <c r="N34" s="1">
        <v>0</v>
      </c>
      <c r="O34">
        <v>0</v>
      </c>
    </row>
    <row r="35" spans="2:15">
      <c r="B35" s="2">
        <v>353</v>
      </c>
      <c r="C35">
        <v>13</v>
      </c>
      <c r="E35" s="21">
        <v>2639</v>
      </c>
      <c r="F35" s="4">
        <f t="shared" si="0"/>
        <v>16.920000000000002</v>
      </c>
      <c r="G35" s="3">
        <v>46023</v>
      </c>
      <c r="H35">
        <v>3</v>
      </c>
      <c r="M35">
        <v>4</v>
      </c>
      <c r="N35" s="1">
        <v>0</v>
      </c>
      <c r="O35">
        <v>0</v>
      </c>
    </row>
    <row r="36" spans="2:15">
      <c r="B36" s="2">
        <v>353</v>
      </c>
      <c r="C36">
        <v>13</v>
      </c>
      <c r="E36" s="21">
        <v>2731</v>
      </c>
      <c r="F36" s="4">
        <f t="shared" si="0"/>
        <v>17.510000000000002</v>
      </c>
      <c r="G36" s="3">
        <v>46023</v>
      </c>
      <c r="H36">
        <v>4</v>
      </c>
      <c r="M36">
        <v>4</v>
      </c>
      <c r="N36" s="1">
        <v>0</v>
      </c>
      <c r="O36">
        <v>0</v>
      </c>
    </row>
    <row r="37" spans="2:15">
      <c r="B37" s="2">
        <v>353</v>
      </c>
      <c r="C37">
        <v>13</v>
      </c>
      <c r="E37" s="21">
        <v>2823</v>
      </c>
      <c r="F37" s="4">
        <f t="shared" si="0"/>
        <v>18.100000000000001</v>
      </c>
      <c r="G37" s="3">
        <v>46023</v>
      </c>
      <c r="H37">
        <v>5</v>
      </c>
      <c r="M37">
        <v>4</v>
      </c>
      <c r="N37" s="1">
        <v>0</v>
      </c>
      <c r="O37">
        <v>0</v>
      </c>
    </row>
    <row r="38" spans="2:15">
      <c r="B38" s="2">
        <v>353</v>
      </c>
      <c r="C38">
        <v>13</v>
      </c>
      <c r="E38" s="21">
        <v>2914</v>
      </c>
      <c r="F38" s="4">
        <f t="shared" si="0"/>
        <v>18.680000000000003</v>
      </c>
      <c r="G38" s="3">
        <v>46023</v>
      </c>
      <c r="H38">
        <v>6</v>
      </c>
      <c r="M38">
        <v>4</v>
      </c>
      <c r="N38" s="1">
        <v>0</v>
      </c>
      <c r="O38">
        <v>0</v>
      </c>
    </row>
    <row r="39" spans="2:15">
      <c r="B39" s="2">
        <v>353</v>
      </c>
      <c r="C39">
        <v>13</v>
      </c>
      <c r="E39" s="21">
        <v>3006</v>
      </c>
      <c r="F39" s="4">
        <f t="shared" si="0"/>
        <v>19.270000000000003</v>
      </c>
      <c r="G39" s="3">
        <v>46023</v>
      </c>
      <c r="H39">
        <v>7</v>
      </c>
      <c r="M39">
        <v>4</v>
      </c>
      <c r="N39" s="1">
        <v>0</v>
      </c>
      <c r="O39">
        <v>0</v>
      </c>
    </row>
    <row r="40" spans="2:15">
      <c r="B40" s="2">
        <v>353</v>
      </c>
      <c r="C40">
        <v>13</v>
      </c>
      <c r="E40" s="21">
        <v>3098</v>
      </c>
      <c r="F40" s="4">
        <f t="shared" si="0"/>
        <v>19.860000000000003</v>
      </c>
      <c r="G40" s="3">
        <v>46023</v>
      </c>
      <c r="H40">
        <v>8</v>
      </c>
      <c r="M40">
        <v>4</v>
      </c>
      <c r="N40" s="1">
        <v>0</v>
      </c>
      <c r="O40">
        <v>0</v>
      </c>
    </row>
    <row r="41" spans="2:15">
      <c r="B41" s="2">
        <v>353</v>
      </c>
      <c r="C41">
        <v>13</v>
      </c>
      <c r="E41" s="21">
        <v>3190</v>
      </c>
      <c r="F41" s="4">
        <f t="shared" si="0"/>
        <v>20.450000000000003</v>
      </c>
      <c r="G41" s="3">
        <v>46023</v>
      </c>
      <c r="H41">
        <v>9</v>
      </c>
      <c r="M41">
        <v>4</v>
      </c>
      <c r="N41" s="1">
        <v>0</v>
      </c>
      <c r="O41">
        <v>0</v>
      </c>
    </row>
    <row r="42" spans="2:15">
      <c r="B42" s="2">
        <v>353</v>
      </c>
      <c r="C42">
        <v>13</v>
      </c>
      <c r="E42" s="21">
        <v>3282</v>
      </c>
      <c r="F42" s="4">
        <f t="shared" si="0"/>
        <v>21.040000000000003</v>
      </c>
      <c r="G42" s="3">
        <v>46023</v>
      </c>
      <c r="H42">
        <v>10</v>
      </c>
      <c r="M42">
        <v>4</v>
      </c>
      <c r="N42" s="1">
        <v>0</v>
      </c>
      <c r="O42">
        <v>0</v>
      </c>
    </row>
    <row r="43" spans="2:15">
      <c r="B43" s="2">
        <v>353</v>
      </c>
      <c r="C43">
        <v>13</v>
      </c>
      <c r="E43" s="21">
        <v>3374</v>
      </c>
      <c r="F43" s="4">
        <f t="shared" si="0"/>
        <v>21.630000000000003</v>
      </c>
      <c r="G43" s="3">
        <v>46023</v>
      </c>
      <c r="H43">
        <v>11</v>
      </c>
      <c r="M43">
        <v>4</v>
      </c>
      <c r="N43" s="1">
        <v>0</v>
      </c>
      <c r="O43">
        <v>0</v>
      </c>
    </row>
    <row r="44" spans="2:15">
      <c r="B44" s="2">
        <v>353</v>
      </c>
      <c r="C44">
        <v>13</v>
      </c>
      <c r="E44" s="15">
        <v>2496</v>
      </c>
      <c r="F44" s="4">
        <v>16</v>
      </c>
      <c r="G44" s="3">
        <v>46023</v>
      </c>
      <c r="H44">
        <v>0</v>
      </c>
      <c r="M44">
        <v>5</v>
      </c>
      <c r="N44" s="1">
        <v>0</v>
      </c>
      <c r="O44">
        <v>0</v>
      </c>
    </row>
    <row r="45" spans="2:15">
      <c r="B45" s="2">
        <v>353</v>
      </c>
      <c r="C45">
        <v>13</v>
      </c>
      <c r="E45" s="21">
        <v>2524</v>
      </c>
      <c r="F45" s="4">
        <f t="shared" si="0"/>
        <v>16.180000000000003</v>
      </c>
      <c r="G45" s="3">
        <v>46023</v>
      </c>
      <c r="H45">
        <v>1</v>
      </c>
      <c r="M45">
        <v>5</v>
      </c>
      <c r="N45" s="1">
        <v>0</v>
      </c>
      <c r="O45">
        <v>0</v>
      </c>
    </row>
    <row r="46" spans="2:15">
      <c r="B46" s="2">
        <v>353</v>
      </c>
      <c r="C46">
        <v>13</v>
      </c>
      <c r="E46" s="21">
        <v>2625</v>
      </c>
      <c r="F46" s="4">
        <f t="shared" si="0"/>
        <v>16.830000000000002</v>
      </c>
      <c r="G46" s="3">
        <v>46023</v>
      </c>
      <c r="H46">
        <v>2</v>
      </c>
      <c r="M46">
        <v>5</v>
      </c>
      <c r="N46" s="1">
        <v>0</v>
      </c>
      <c r="O46">
        <v>0</v>
      </c>
    </row>
    <row r="47" spans="2:15">
      <c r="B47" s="2">
        <v>353</v>
      </c>
      <c r="C47">
        <v>13</v>
      </c>
      <c r="E47" s="21">
        <v>2726</v>
      </c>
      <c r="F47" s="4">
        <f t="shared" si="0"/>
        <v>17.48</v>
      </c>
      <c r="G47" s="3">
        <v>46023</v>
      </c>
      <c r="H47">
        <v>3</v>
      </c>
      <c r="M47">
        <v>5</v>
      </c>
      <c r="N47" s="1">
        <v>0</v>
      </c>
      <c r="O47">
        <v>0</v>
      </c>
    </row>
    <row r="48" spans="2:15">
      <c r="B48" s="2">
        <v>353</v>
      </c>
      <c r="C48">
        <v>13</v>
      </c>
      <c r="E48" s="21">
        <v>2828</v>
      </c>
      <c r="F48" s="4">
        <f t="shared" si="0"/>
        <v>18.130000000000003</v>
      </c>
      <c r="G48" s="3">
        <v>46023</v>
      </c>
      <c r="H48">
        <v>4</v>
      </c>
      <c r="M48">
        <v>5</v>
      </c>
      <c r="N48" s="1">
        <v>0</v>
      </c>
      <c r="O48">
        <v>0</v>
      </c>
    </row>
    <row r="49" spans="2:15">
      <c r="B49" s="2">
        <v>353</v>
      </c>
      <c r="C49">
        <v>13</v>
      </c>
      <c r="E49" s="21">
        <v>2928</v>
      </c>
      <c r="F49" s="4">
        <f t="shared" si="0"/>
        <v>18.770000000000003</v>
      </c>
      <c r="G49" s="3">
        <v>46023</v>
      </c>
      <c r="H49">
        <v>5</v>
      </c>
      <c r="M49">
        <v>5</v>
      </c>
      <c r="N49" s="1">
        <v>0</v>
      </c>
      <c r="O49">
        <v>0</v>
      </c>
    </row>
    <row r="50" spans="2:15">
      <c r="B50" s="2">
        <v>353</v>
      </c>
      <c r="C50">
        <v>13</v>
      </c>
      <c r="E50" s="21">
        <v>3029</v>
      </c>
      <c r="F50" s="4">
        <f t="shared" si="0"/>
        <v>19.420000000000002</v>
      </c>
      <c r="G50" s="3">
        <v>46023</v>
      </c>
      <c r="H50">
        <v>6</v>
      </c>
      <c r="M50">
        <v>5</v>
      </c>
      <c r="N50" s="1">
        <v>0</v>
      </c>
      <c r="O50">
        <v>0</v>
      </c>
    </row>
    <row r="51" spans="2:15">
      <c r="B51" s="2">
        <v>353</v>
      </c>
      <c r="C51">
        <v>13</v>
      </c>
      <c r="E51" s="21">
        <v>3130</v>
      </c>
      <c r="F51" s="4">
        <f t="shared" si="0"/>
        <v>20.07</v>
      </c>
      <c r="G51" s="3">
        <v>46023</v>
      </c>
      <c r="H51">
        <v>7</v>
      </c>
      <c r="M51">
        <v>5</v>
      </c>
      <c r="N51" s="1">
        <v>0</v>
      </c>
      <c r="O51">
        <v>0</v>
      </c>
    </row>
    <row r="52" spans="2:15">
      <c r="B52" s="2">
        <v>353</v>
      </c>
      <c r="C52">
        <v>13</v>
      </c>
      <c r="E52" s="21">
        <v>3231</v>
      </c>
      <c r="F52" s="4">
        <f t="shared" si="0"/>
        <v>20.720000000000002</v>
      </c>
      <c r="G52" s="3">
        <v>46023</v>
      </c>
      <c r="H52">
        <v>8</v>
      </c>
      <c r="M52">
        <v>5</v>
      </c>
      <c r="N52" s="1">
        <v>0</v>
      </c>
      <c r="O52">
        <v>0</v>
      </c>
    </row>
    <row r="53" spans="2:15">
      <c r="B53" s="2">
        <v>353</v>
      </c>
      <c r="C53">
        <v>13</v>
      </c>
      <c r="E53" s="21">
        <v>3333</v>
      </c>
      <c r="F53" s="4">
        <f t="shared" si="0"/>
        <v>21.37</v>
      </c>
      <c r="G53" s="3">
        <v>46023</v>
      </c>
      <c r="H53">
        <v>9</v>
      </c>
      <c r="M53">
        <v>5</v>
      </c>
      <c r="N53" s="1">
        <v>0</v>
      </c>
      <c r="O53">
        <v>0</v>
      </c>
    </row>
    <row r="54" spans="2:15">
      <c r="B54" s="2">
        <v>353</v>
      </c>
      <c r="C54">
        <v>13</v>
      </c>
      <c r="E54" s="21">
        <v>3433</v>
      </c>
      <c r="F54" s="4">
        <f t="shared" si="0"/>
        <v>22.01</v>
      </c>
      <c r="G54" s="3">
        <v>46023</v>
      </c>
      <c r="H54">
        <v>10</v>
      </c>
      <c r="M54">
        <v>5</v>
      </c>
      <c r="N54" s="1">
        <v>0</v>
      </c>
      <c r="O54">
        <v>0</v>
      </c>
    </row>
    <row r="55" spans="2:15">
      <c r="B55" s="2">
        <v>353</v>
      </c>
      <c r="C55">
        <v>13</v>
      </c>
      <c r="E55" s="21">
        <v>3534</v>
      </c>
      <c r="F55" s="4">
        <f t="shared" si="0"/>
        <v>22.66</v>
      </c>
      <c r="G55" s="3">
        <v>46023</v>
      </c>
      <c r="H55">
        <v>11</v>
      </c>
      <c r="M55">
        <v>5</v>
      </c>
      <c r="N55" s="1">
        <v>0</v>
      </c>
      <c r="O55">
        <v>0</v>
      </c>
    </row>
    <row r="56" spans="2:15">
      <c r="B56" s="2">
        <v>353</v>
      </c>
      <c r="C56">
        <v>13</v>
      </c>
      <c r="E56" s="16">
        <v>2564</v>
      </c>
      <c r="F56" s="4">
        <f t="shared" si="0"/>
        <v>16.440000000000001</v>
      </c>
      <c r="G56" s="3">
        <v>46023</v>
      </c>
      <c r="H56">
        <v>0</v>
      </c>
      <c r="M56">
        <v>6</v>
      </c>
      <c r="N56" s="1">
        <v>0</v>
      </c>
      <c r="O56">
        <v>0</v>
      </c>
    </row>
    <row r="57" spans="2:15">
      <c r="B57" s="2">
        <v>353</v>
      </c>
      <c r="C57">
        <v>13</v>
      </c>
      <c r="E57" s="21">
        <v>2667</v>
      </c>
      <c r="F57" s="4">
        <f t="shared" si="0"/>
        <v>17.100000000000001</v>
      </c>
      <c r="G57" s="3">
        <v>46023</v>
      </c>
      <c r="H57">
        <v>1</v>
      </c>
      <c r="M57">
        <v>6</v>
      </c>
      <c r="N57" s="1">
        <v>0</v>
      </c>
      <c r="O57">
        <v>0</v>
      </c>
    </row>
    <row r="58" spans="2:15">
      <c r="B58" s="2">
        <v>353</v>
      </c>
      <c r="C58">
        <v>13</v>
      </c>
      <c r="E58" s="21">
        <v>2770</v>
      </c>
      <c r="F58" s="4">
        <f t="shared" si="0"/>
        <v>17.760000000000002</v>
      </c>
      <c r="G58" s="3">
        <v>46023</v>
      </c>
      <c r="H58">
        <v>2</v>
      </c>
      <c r="M58">
        <v>6</v>
      </c>
      <c r="N58" s="1">
        <v>0</v>
      </c>
      <c r="O58">
        <v>0</v>
      </c>
    </row>
    <row r="59" spans="2:15">
      <c r="B59" s="2">
        <v>353</v>
      </c>
      <c r="C59">
        <v>13</v>
      </c>
      <c r="E59" s="21">
        <v>2873</v>
      </c>
      <c r="F59" s="4">
        <f t="shared" si="0"/>
        <v>18.420000000000002</v>
      </c>
      <c r="G59" s="3">
        <v>46023</v>
      </c>
      <c r="H59">
        <v>3</v>
      </c>
      <c r="M59">
        <v>6</v>
      </c>
      <c r="N59" s="1">
        <v>0</v>
      </c>
      <c r="O59">
        <v>0</v>
      </c>
    </row>
    <row r="60" spans="2:15">
      <c r="B60" s="2">
        <v>353</v>
      </c>
      <c r="C60">
        <v>13</v>
      </c>
      <c r="E60" s="21">
        <v>2976</v>
      </c>
      <c r="F60" s="4">
        <f t="shared" si="0"/>
        <v>19.080000000000002</v>
      </c>
      <c r="G60" s="3">
        <v>46023</v>
      </c>
      <c r="H60">
        <v>4</v>
      </c>
      <c r="M60">
        <v>6</v>
      </c>
      <c r="N60" s="1">
        <v>0</v>
      </c>
      <c r="O60">
        <v>0</v>
      </c>
    </row>
    <row r="61" spans="2:15">
      <c r="B61" s="2">
        <v>353</v>
      </c>
      <c r="C61">
        <v>13</v>
      </c>
      <c r="E61" s="21">
        <v>3079</v>
      </c>
      <c r="F61" s="4">
        <f t="shared" si="0"/>
        <v>19.740000000000002</v>
      </c>
      <c r="G61" s="3">
        <v>46023</v>
      </c>
      <c r="H61">
        <v>5</v>
      </c>
      <c r="M61">
        <v>6</v>
      </c>
      <c r="N61" s="1">
        <v>0</v>
      </c>
      <c r="O61">
        <v>0</v>
      </c>
    </row>
    <row r="62" spans="2:15">
      <c r="B62" s="2">
        <v>353</v>
      </c>
      <c r="C62">
        <v>13</v>
      </c>
      <c r="E62" s="21">
        <v>3181</v>
      </c>
      <c r="F62" s="4">
        <f t="shared" si="0"/>
        <v>20.400000000000002</v>
      </c>
      <c r="G62" s="3">
        <v>46023</v>
      </c>
      <c r="H62">
        <v>6</v>
      </c>
      <c r="M62">
        <v>6</v>
      </c>
      <c r="N62" s="1">
        <v>0</v>
      </c>
      <c r="O62">
        <v>0</v>
      </c>
    </row>
    <row r="63" spans="2:15">
      <c r="B63" s="2">
        <v>353</v>
      </c>
      <c r="C63">
        <v>13</v>
      </c>
      <c r="E63" s="21">
        <v>3284</v>
      </c>
      <c r="F63" s="4">
        <f t="shared" si="0"/>
        <v>21.060000000000002</v>
      </c>
      <c r="G63" s="3">
        <v>46023</v>
      </c>
      <c r="H63">
        <v>7</v>
      </c>
      <c r="M63">
        <v>6</v>
      </c>
      <c r="N63" s="1">
        <v>0</v>
      </c>
      <c r="O63">
        <v>0</v>
      </c>
    </row>
    <row r="64" spans="2:15">
      <c r="B64" s="2">
        <v>353</v>
      </c>
      <c r="C64">
        <v>13</v>
      </c>
      <c r="E64" s="21">
        <v>3387</v>
      </c>
      <c r="F64" s="4">
        <f t="shared" si="0"/>
        <v>21.720000000000002</v>
      </c>
      <c r="G64" s="3">
        <v>46023</v>
      </c>
      <c r="H64">
        <v>8</v>
      </c>
      <c r="M64">
        <v>6</v>
      </c>
      <c r="N64" s="1">
        <v>0</v>
      </c>
      <c r="O64">
        <v>0</v>
      </c>
    </row>
    <row r="65" spans="2:15">
      <c r="B65" s="2">
        <v>353</v>
      </c>
      <c r="C65">
        <v>13</v>
      </c>
      <c r="E65" s="21">
        <v>3490</v>
      </c>
      <c r="F65" s="4">
        <f t="shared" si="0"/>
        <v>22.380000000000003</v>
      </c>
      <c r="G65" s="3">
        <v>46023</v>
      </c>
      <c r="H65">
        <v>9</v>
      </c>
      <c r="M65">
        <v>6</v>
      </c>
      <c r="N65" s="1">
        <v>0</v>
      </c>
      <c r="O65">
        <v>0</v>
      </c>
    </row>
    <row r="66" spans="2:15">
      <c r="B66" s="2">
        <v>353</v>
      </c>
      <c r="C66">
        <v>13</v>
      </c>
      <c r="E66" s="21">
        <v>3593</v>
      </c>
      <c r="F66" s="4">
        <f t="shared" si="0"/>
        <v>23.040000000000003</v>
      </c>
      <c r="G66" s="3">
        <v>46023</v>
      </c>
      <c r="H66">
        <v>10</v>
      </c>
      <c r="M66">
        <v>6</v>
      </c>
      <c r="N66" s="1">
        <v>0</v>
      </c>
      <c r="O66">
        <v>0</v>
      </c>
    </row>
    <row r="67" spans="2:15">
      <c r="B67" s="2">
        <v>353</v>
      </c>
      <c r="C67">
        <v>13</v>
      </c>
      <c r="E67" s="21">
        <v>3696</v>
      </c>
      <c r="F67" s="4">
        <f t="shared" ref="F67:F130" si="1">ROUNDUP(E67/156,2)</f>
        <v>23.700000000000003</v>
      </c>
      <c r="G67" s="3">
        <v>46023</v>
      </c>
      <c r="H67">
        <v>11</v>
      </c>
      <c r="M67">
        <v>6</v>
      </c>
      <c r="N67" s="1">
        <v>0</v>
      </c>
      <c r="O67">
        <v>0</v>
      </c>
    </row>
    <row r="68" spans="2:15">
      <c r="B68" s="2">
        <v>353</v>
      </c>
      <c r="C68">
        <v>13</v>
      </c>
      <c r="E68" s="16">
        <v>2840</v>
      </c>
      <c r="F68" s="4">
        <f t="shared" si="1"/>
        <v>18.21</v>
      </c>
      <c r="G68" s="3">
        <v>46023</v>
      </c>
      <c r="H68">
        <v>0</v>
      </c>
      <c r="M68">
        <v>7</v>
      </c>
      <c r="N68" s="1">
        <v>0</v>
      </c>
      <c r="O68">
        <v>0</v>
      </c>
    </row>
    <row r="69" spans="2:15">
      <c r="B69" s="2">
        <v>353</v>
      </c>
      <c r="C69">
        <v>13</v>
      </c>
      <c r="E69" s="21">
        <v>2946</v>
      </c>
      <c r="F69" s="4">
        <f t="shared" si="1"/>
        <v>18.89</v>
      </c>
      <c r="G69" s="3">
        <v>46023</v>
      </c>
      <c r="H69">
        <v>1</v>
      </c>
      <c r="M69">
        <v>7</v>
      </c>
      <c r="N69" s="1">
        <v>0</v>
      </c>
      <c r="O69">
        <v>0</v>
      </c>
    </row>
    <row r="70" spans="2:15">
      <c r="B70" s="2">
        <v>353</v>
      </c>
      <c r="C70">
        <v>13</v>
      </c>
      <c r="E70" s="21">
        <v>3053</v>
      </c>
      <c r="F70" s="4">
        <f t="shared" si="1"/>
        <v>19.580000000000002</v>
      </c>
      <c r="G70" s="3">
        <v>46023</v>
      </c>
      <c r="H70">
        <v>2</v>
      </c>
      <c r="M70">
        <v>7</v>
      </c>
      <c r="N70" s="1">
        <v>0</v>
      </c>
      <c r="O70">
        <v>0</v>
      </c>
    </row>
    <row r="71" spans="2:15">
      <c r="B71" s="2">
        <v>353</v>
      </c>
      <c r="C71">
        <v>13</v>
      </c>
      <c r="E71" s="21">
        <v>3160</v>
      </c>
      <c r="F71" s="4">
        <f t="shared" si="1"/>
        <v>20.260000000000002</v>
      </c>
      <c r="G71" s="3">
        <v>46023</v>
      </c>
      <c r="H71">
        <v>3</v>
      </c>
      <c r="M71">
        <v>7</v>
      </c>
      <c r="N71" s="1">
        <v>0</v>
      </c>
      <c r="O71">
        <v>0</v>
      </c>
    </row>
    <row r="72" spans="2:15">
      <c r="B72" s="2">
        <v>353</v>
      </c>
      <c r="C72">
        <v>13</v>
      </c>
      <c r="E72" s="21">
        <v>3267</v>
      </c>
      <c r="F72" s="4">
        <f t="shared" si="1"/>
        <v>20.950000000000003</v>
      </c>
      <c r="G72" s="3">
        <v>46023</v>
      </c>
      <c r="H72">
        <v>4</v>
      </c>
      <c r="M72">
        <v>7</v>
      </c>
      <c r="N72" s="1">
        <v>0</v>
      </c>
      <c r="O72">
        <v>0</v>
      </c>
    </row>
    <row r="73" spans="2:15">
      <c r="B73" s="2">
        <v>353</v>
      </c>
      <c r="C73">
        <v>13</v>
      </c>
      <c r="E73" s="21">
        <v>3374</v>
      </c>
      <c r="F73" s="4">
        <f t="shared" si="1"/>
        <v>21.630000000000003</v>
      </c>
      <c r="G73" s="3">
        <v>46023</v>
      </c>
      <c r="H73">
        <v>5</v>
      </c>
      <c r="M73">
        <v>7</v>
      </c>
      <c r="N73" s="1">
        <v>0</v>
      </c>
      <c r="O73">
        <v>0</v>
      </c>
    </row>
    <row r="74" spans="2:15">
      <c r="B74" s="2">
        <v>353</v>
      </c>
      <c r="C74">
        <v>13</v>
      </c>
      <c r="E74" s="21">
        <v>3481</v>
      </c>
      <c r="F74" s="4">
        <f t="shared" si="1"/>
        <v>22.32</v>
      </c>
      <c r="G74" s="3">
        <v>46023</v>
      </c>
      <c r="H74">
        <v>6</v>
      </c>
      <c r="M74">
        <v>7</v>
      </c>
      <c r="N74" s="1">
        <v>0</v>
      </c>
      <c r="O74">
        <v>0</v>
      </c>
    </row>
    <row r="75" spans="2:15">
      <c r="B75" s="2">
        <v>353</v>
      </c>
      <c r="C75">
        <v>13</v>
      </c>
      <c r="E75" s="21">
        <v>3587</v>
      </c>
      <c r="F75" s="4">
        <f t="shared" si="1"/>
        <v>23</v>
      </c>
      <c r="G75" s="3">
        <v>46023</v>
      </c>
      <c r="H75">
        <v>7</v>
      </c>
      <c r="M75">
        <v>7</v>
      </c>
      <c r="N75" s="1">
        <v>0</v>
      </c>
      <c r="O75">
        <v>0</v>
      </c>
    </row>
    <row r="76" spans="2:15">
      <c r="B76" s="2">
        <v>353</v>
      </c>
      <c r="C76">
        <v>13</v>
      </c>
      <c r="E76" s="21">
        <v>3695</v>
      </c>
      <c r="F76" s="4">
        <f t="shared" si="1"/>
        <v>23.69</v>
      </c>
      <c r="G76" s="3">
        <v>46023</v>
      </c>
      <c r="H76">
        <v>8</v>
      </c>
      <c r="M76">
        <v>7</v>
      </c>
      <c r="N76" s="1">
        <v>0</v>
      </c>
      <c r="O76">
        <v>0</v>
      </c>
    </row>
    <row r="77" spans="2:15">
      <c r="B77" s="2">
        <v>353</v>
      </c>
      <c r="C77">
        <v>13</v>
      </c>
      <c r="E77" s="21">
        <v>3801</v>
      </c>
      <c r="F77" s="4">
        <f t="shared" si="1"/>
        <v>24.37</v>
      </c>
      <c r="G77" s="3">
        <v>46023</v>
      </c>
      <c r="H77">
        <v>9</v>
      </c>
      <c r="M77">
        <v>7</v>
      </c>
      <c r="N77" s="1">
        <v>0</v>
      </c>
      <c r="O77">
        <v>0</v>
      </c>
    </row>
    <row r="78" spans="2:15">
      <c r="B78" s="2">
        <v>353</v>
      </c>
      <c r="C78">
        <v>13</v>
      </c>
      <c r="E78" s="21">
        <v>3908</v>
      </c>
      <c r="F78" s="4">
        <f t="shared" si="1"/>
        <v>25.060000000000002</v>
      </c>
      <c r="G78" s="3">
        <v>46023</v>
      </c>
      <c r="H78">
        <v>10</v>
      </c>
      <c r="M78">
        <v>7</v>
      </c>
      <c r="N78" s="1">
        <v>0</v>
      </c>
      <c r="O78">
        <v>0</v>
      </c>
    </row>
    <row r="79" spans="2:15">
      <c r="B79" s="2">
        <v>353</v>
      </c>
      <c r="C79">
        <v>13</v>
      </c>
      <c r="E79" s="21">
        <v>4015</v>
      </c>
      <c r="F79" s="4">
        <f t="shared" si="1"/>
        <v>25.740000000000002</v>
      </c>
      <c r="G79" s="3">
        <v>46023</v>
      </c>
      <c r="H79">
        <v>11</v>
      </c>
      <c r="M79">
        <v>7</v>
      </c>
      <c r="N79" s="1">
        <v>0</v>
      </c>
      <c r="O79">
        <v>0</v>
      </c>
    </row>
    <row r="80" spans="2:15">
      <c r="B80" s="2">
        <v>353</v>
      </c>
      <c r="C80">
        <v>13</v>
      </c>
      <c r="E80" s="16">
        <v>3206</v>
      </c>
      <c r="F80" s="4">
        <f t="shared" si="1"/>
        <v>20.560000000000002</v>
      </c>
      <c r="G80" s="3">
        <v>46023</v>
      </c>
      <c r="H80">
        <v>0</v>
      </c>
      <c r="M80">
        <v>8</v>
      </c>
      <c r="N80" s="1">
        <v>0</v>
      </c>
      <c r="O80">
        <v>0</v>
      </c>
    </row>
    <row r="81" spans="2:15">
      <c r="B81" s="2">
        <v>353</v>
      </c>
      <c r="C81">
        <v>13</v>
      </c>
      <c r="E81" s="21">
        <v>3323</v>
      </c>
      <c r="F81" s="4">
        <f t="shared" si="1"/>
        <v>21.310000000000002</v>
      </c>
      <c r="G81" s="3">
        <v>46023</v>
      </c>
      <c r="H81">
        <v>1</v>
      </c>
      <c r="M81">
        <v>8</v>
      </c>
      <c r="N81" s="1">
        <v>0</v>
      </c>
      <c r="O81">
        <v>0</v>
      </c>
    </row>
    <row r="82" spans="2:15">
      <c r="B82" s="2">
        <v>353</v>
      </c>
      <c r="C82">
        <v>13</v>
      </c>
      <c r="E82" s="21">
        <v>3441</v>
      </c>
      <c r="F82" s="4">
        <f t="shared" si="1"/>
        <v>22.060000000000002</v>
      </c>
      <c r="G82" s="3">
        <v>46023</v>
      </c>
      <c r="H82">
        <v>2</v>
      </c>
      <c r="M82">
        <v>8</v>
      </c>
      <c r="N82" s="1">
        <v>0</v>
      </c>
      <c r="O82">
        <v>0</v>
      </c>
    </row>
    <row r="83" spans="2:15">
      <c r="B83" s="2">
        <v>353</v>
      </c>
      <c r="C83">
        <v>13</v>
      </c>
      <c r="E83" s="21">
        <v>3558</v>
      </c>
      <c r="F83" s="4">
        <f t="shared" si="1"/>
        <v>22.810000000000002</v>
      </c>
      <c r="G83" s="3">
        <v>46023</v>
      </c>
      <c r="H83">
        <v>3</v>
      </c>
      <c r="M83">
        <v>8</v>
      </c>
      <c r="N83" s="1">
        <v>0</v>
      </c>
      <c r="O83">
        <v>0</v>
      </c>
    </row>
    <row r="84" spans="2:15">
      <c r="B84" s="2">
        <v>353</v>
      </c>
      <c r="C84">
        <v>13</v>
      </c>
      <c r="E84" s="21">
        <v>3676</v>
      </c>
      <c r="F84" s="4">
        <f t="shared" si="1"/>
        <v>23.57</v>
      </c>
      <c r="G84" s="3">
        <v>46023</v>
      </c>
      <c r="H84">
        <v>4</v>
      </c>
      <c r="M84">
        <v>8</v>
      </c>
      <c r="N84" s="1">
        <v>0</v>
      </c>
      <c r="O84">
        <v>0</v>
      </c>
    </row>
    <row r="85" spans="2:15">
      <c r="B85" s="2">
        <v>353</v>
      </c>
      <c r="C85">
        <v>13</v>
      </c>
      <c r="E85" s="21">
        <v>3793</v>
      </c>
      <c r="F85" s="4">
        <f t="shared" si="1"/>
        <v>24.32</v>
      </c>
      <c r="G85" s="3">
        <v>46023</v>
      </c>
      <c r="H85">
        <v>5</v>
      </c>
      <c r="M85">
        <v>8</v>
      </c>
      <c r="N85" s="1">
        <v>0</v>
      </c>
      <c r="O85">
        <v>0</v>
      </c>
    </row>
    <row r="86" spans="2:15">
      <c r="B86" s="2">
        <v>353</v>
      </c>
      <c r="C86">
        <v>13</v>
      </c>
      <c r="E86" s="21">
        <v>3912</v>
      </c>
      <c r="F86" s="4">
        <f t="shared" si="1"/>
        <v>25.080000000000002</v>
      </c>
      <c r="G86" s="3">
        <v>46023</v>
      </c>
      <c r="H86">
        <v>6</v>
      </c>
      <c r="M86">
        <v>8</v>
      </c>
      <c r="N86" s="1">
        <v>0</v>
      </c>
      <c r="O86">
        <v>0</v>
      </c>
    </row>
    <row r="87" spans="2:15">
      <c r="B87" s="2">
        <v>353</v>
      </c>
      <c r="C87">
        <v>13</v>
      </c>
      <c r="E87" s="21">
        <v>4029</v>
      </c>
      <c r="F87" s="4">
        <f t="shared" si="1"/>
        <v>25.830000000000002</v>
      </c>
      <c r="G87" s="3">
        <v>46023</v>
      </c>
      <c r="H87">
        <v>7</v>
      </c>
      <c r="M87">
        <v>8</v>
      </c>
      <c r="N87" s="1">
        <v>0</v>
      </c>
      <c r="O87">
        <v>0</v>
      </c>
    </row>
    <row r="88" spans="2:15">
      <c r="B88" s="2">
        <v>353</v>
      </c>
      <c r="C88">
        <v>13</v>
      </c>
      <c r="E88" s="21">
        <v>4147</v>
      </c>
      <c r="F88" s="4">
        <f t="shared" si="1"/>
        <v>26.59</v>
      </c>
      <c r="G88" s="3">
        <v>46023</v>
      </c>
      <c r="H88">
        <v>8</v>
      </c>
      <c r="M88">
        <v>8</v>
      </c>
      <c r="N88" s="1">
        <v>0</v>
      </c>
      <c r="O88">
        <v>0</v>
      </c>
    </row>
    <row r="89" spans="2:15">
      <c r="B89" s="2">
        <v>353</v>
      </c>
      <c r="C89">
        <v>13</v>
      </c>
      <c r="E89" s="21">
        <v>4264</v>
      </c>
      <c r="F89" s="4">
        <f t="shared" si="1"/>
        <v>27.34</v>
      </c>
      <c r="G89" s="3">
        <v>46023</v>
      </c>
      <c r="H89">
        <v>9</v>
      </c>
      <c r="M89">
        <v>8</v>
      </c>
      <c r="N89" s="1">
        <v>0</v>
      </c>
      <c r="O89">
        <v>0</v>
      </c>
    </row>
    <row r="90" spans="2:15">
      <c r="B90" s="2">
        <v>353</v>
      </c>
      <c r="C90">
        <v>13</v>
      </c>
      <c r="E90" s="21">
        <v>4382</v>
      </c>
      <c r="F90" s="4">
        <f t="shared" si="1"/>
        <v>28.09</v>
      </c>
      <c r="G90" s="3">
        <v>46023</v>
      </c>
      <c r="H90">
        <v>10</v>
      </c>
      <c r="M90">
        <v>8</v>
      </c>
      <c r="N90" s="1">
        <v>0</v>
      </c>
      <c r="O90">
        <v>0</v>
      </c>
    </row>
    <row r="91" spans="2:15">
      <c r="B91" s="2">
        <v>353</v>
      </c>
      <c r="C91">
        <v>13</v>
      </c>
      <c r="E91" s="21">
        <v>4499</v>
      </c>
      <c r="F91" s="4">
        <f t="shared" si="1"/>
        <v>28.84</v>
      </c>
      <c r="G91" s="3">
        <v>46023</v>
      </c>
      <c r="H91">
        <v>11</v>
      </c>
      <c r="M91">
        <v>8</v>
      </c>
      <c r="N91" s="1">
        <v>0</v>
      </c>
      <c r="O91">
        <v>0</v>
      </c>
    </row>
    <row r="92" spans="2:15">
      <c r="B92" s="2">
        <v>353</v>
      </c>
      <c r="C92">
        <v>13</v>
      </c>
      <c r="E92" s="16">
        <v>3524</v>
      </c>
      <c r="F92" s="4">
        <f t="shared" si="1"/>
        <v>22.59</v>
      </c>
      <c r="G92" s="3">
        <v>46023</v>
      </c>
      <c r="H92">
        <v>0</v>
      </c>
      <c r="M92">
        <v>9</v>
      </c>
      <c r="N92" s="1">
        <v>0</v>
      </c>
      <c r="O92">
        <v>0</v>
      </c>
    </row>
    <row r="93" spans="2:15">
      <c r="B93" s="2">
        <v>353</v>
      </c>
      <c r="C93">
        <v>13</v>
      </c>
      <c r="E93" s="21">
        <v>3661</v>
      </c>
      <c r="F93" s="4">
        <f t="shared" si="1"/>
        <v>23.470000000000002</v>
      </c>
      <c r="G93" s="3">
        <v>46023</v>
      </c>
      <c r="H93">
        <v>1</v>
      </c>
      <c r="M93">
        <v>9</v>
      </c>
      <c r="N93" s="1">
        <v>0</v>
      </c>
      <c r="O93">
        <v>0</v>
      </c>
    </row>
    <row r="94" spans="2:15">
      <c r="B94" s="2">
        <v>353</v>
      </c>
      <c r="C94">
        <v>13</v>
      </c>
      <c r="E94" s="21">
        <v>3799</v>
      </c>
      <c r="F94" s="4">
        <f t="shared" si="1"/>
        <v>24.360000000000003</v>
      </c>
      <c r="G94" s="3">
        <v>46023</v>
      </c>
      <c r="H94">
        <v>2</v>
      </c>
      <c r="M94">
        <v>9</v>
      </c>
      <c r="N94" s="1">
        <v>0</v>
      </c>
      <c r="O94">
        <v>0</v>
      </c>
    </row>
    <row r="95" spans="2:15">
      <c r="B95" s="2">
        <v>353</v>
      </c>
      <c r="C95">
        <v>13</v>
      </c>
      <c r="E95" s="21">
        <v>3936</v>
      </c>
      <c r="F95" s="4">
        <f t="shared" si="1"/>
        <v>25.240000000000002</v>
      </c>
      <c r="G95" s="3">
        <v>46023</v>
      </c>
      <c r="H95">
        <v>3</v>
      </c>
      <c r="M95">
        <v>9</v>
      </c>
      <c r="N95" s="1">
        <v>0</v>
      </c>
      <c r="O95">
        <v>0</v>
      </c>
    </row>
    <row r="96" spans="2:15">
      <c r="B96" s="2">
        <v>353</v>
      </c>
      <c r="C96">
        <v>13</v>
      </c>
      <c r="E96" s="21">
        <v>4073</v>
      </c>
      <c r="F96" s="4">
        <f t="shared" si="1"/>
        <v>26.110000000000003</v>
      </c>
      <c r="G96" s="3">
        <v>46023</v>
      </c>
      <c r="H96">
        <v>4</v>
      </c>
      <c r="M96">
        <v>9</v>
      </c>
      <c r="N96" s="1">
        <v>0</v>
      </c>
      <c r="O96">
        <v>0</v>
      </c>
    </row>
    <row r="97" spans="2:15">
      <c r="B97" s="2">
        <v>353</v>
      </c>
      <c r="C97">
        <v>13</v>
      </c>
      <c r="E97" s="21">
        <v>4210</v>
      </c>
      <c r="F97" s="4">
        <f t="shared" si="1"/>
        <v>26.990000000000002</v>
      </c>
      <c r="G97" s="3">
        <v>46023</v>
      </c>
      <c r="H97">
        <v>5</v>
      </c>
      <c r="M97">
        <v>9</v>
      </c>
      <c r="N97" s="1">
        <v>0</v>
      </c>
      <c r="O97">
        <v>0</v>
      </c>
    </row>
    <row r="98" spans="2:15">
      <c r="B98" s="2">
        <v>353</v>
      </c>
      <c r="C98">
        <v>13</v>
      </c>
      <c r="E98" s="21">
        <v>4348</v>
      </c>
      <c r="F98" s="4">
        <f t="shared" si="1"/>
        <v>27.880000000000003</v>
      </c>
      <c r="G98" s="3">
        <v>46023</v>
      </c>
      <c r="H98">
        <v>6</v>
      </c>
      <c r="M98">
        <v>9</v>
      </c>
      <c r="N98" s="1">
        <v>0</v>
      </c>
      <c r="O98">
        <v>0</v>
      </c>
    </row>
    <row r="99" spans="2:15">
      <c r="B99" s="2">
        <v>353</v>
      </c>
      <c r="C99">
        <v>13</v>
      </c>
      <c r="E99" s="21">
        <v>4485</v>
      </c>
      <c r="F99" s="4">
        <f t="shared" si="1"/>
        <v>28.75</v>
      </c>
      <c r="G99" s="3">
        <v>46023</v>
      </c>
      <c r="H99">
        <v>7</v>
      </c>
      <c r="M99">
        <v>9</v>
      </c>
      <c r="N99" s="1">
        <v>0</v>
      </c>
      <c r="O99">
        <v>0</v>
      </c>
    </row>
    <row r="100" spans="2:15">
      <c r="B100" s="2">
        <v>353</v>
      </c>
      <c r="C100">
        <v>13</v>
      </c>
      <c r="E100" s="21">
        <v>4622</v>
      </c>
      <c r="F100" s="4">
        <f t="shared" si="1"/>
        <v>29.630000000000003</v>
      </c>
      <c r="G100" s="3">
        <v>46023</v>
      </c>
      <c r="H100">
        <v>8</v>
      </c>
      <c r="M100">
        <v>9</v>
      </c>
      <c r="N100" s="1">
        <v>0</v>
      </c>
      <c r="O100">
        <v>0</v>
      </c>
    </row>
    <row r="101" spans="2:15">
      <c r="B101" s="2">
        <v>353</v>
      </c>
      <c r="C101">
        <v>13</v>
      </c>
      <c r="E101" s="21">
        <v>4759</v>
      </c>
      <c r="F101" s="4">
        <f t="shared" si="1"/>
        <v>30.51</v>
      </c>
      <c r="G101" s="3">
        <v>46023</v>
      </c>
      <c r="H101">
        <v>9</v>
      </c>
      <c r="M101">
        <v>9</v>
      </c>
      <c r="N101" s="1">
        <v>0</v>
      </c>
      <c r="O101">
        <v>0</v>
      </c>
    </row>
    <row r="102" spans="2:15">
      <c r="B102" s="2">
        <v>353</v>
      </c>
      <c r="C102">
        <v>13</v>
      </c>
      <c r="E102" s="21">
        <v>4896</v>
      </c>
      <c r="F102" s="4">
        <f t="shared" si="1"/>
        <v>31.39</v>
      </c>
      <c r="G102" s="3">
        <v>46023</v>
      </c>
      <c r="H102">
        <v>10</v>
      </c>
      <c r="M102">
        <v>9</v>
      </c>
      <c r="N102" s="1">
        <v>0</v>
      </c>
      <c r="O102">
        <v>0</v>
      </c>
    </row>
    <row r="103" spans="2:15">
      <c r="B103" s="2">
        <v>353</v>
      </c>
      <c r="C103">
        <v>13</v>
      </c>
      <c r="E103" s="21">
        <v>5033</v>
      </c>
      <c r="F103" s="4">
        <f t="shared" si="1"/>
        <v>32.269999999999996</v>
      </c>
      <c r="G103" s="3">
        <v>46023</v>
      </c>
      <c r="H103">
        <v>11</v>
      </c>
      <c r="M103">
        <v>9</v>
      </c>
      <c r="N103" s="1">
        <v>0</v>
      </c>
      <c r="O103">
        <v>0</v>
      </c>
    </row>
    <row r="104" spans="2:15">
      <c r="B104" s="2">
        <v>353</v>
      </c>
      <c r="C104">
        <v>13</v>
      </c>
      <c r="E104" s="17">
        <v>3777</v>
      </c>
      <c r="F104" s="4">
        <f t="shared" si="1"/>
        <v>24.220000000000002</v>
      </c>
      <c r="G104" s="3">
        <v>46023</v>
      </c>
      <c r="H104">
        <v>0</v>
      </c>
      <c r="M104">
        <v>10</v>
      </c>
      <c r="N104" s="1">
        <v>0</v>
      </c>
      <c r="O104">
        <v>0</v>
      </c>
    </row>
    <row r="105" spans="2:15">
      <c r="B105" s="2">
        <v>353</v>
      </c>
      <c r="C105">
        <v>13</v>
      </c>
      <c r="E105" s="22">
        <v>3939</v>
      </c>
      <c r="F105" s="4">
        <f t="shared" si="1"/>
        <v>25.25</v>
      </c>
      <c r="G105" s="3">
        <v>46023</v>
      </c>
      <c r="H105">
        <v>1</v>
      </c>
      <c r="M105">
        <v>10</v>
      </c>
      <c r="N105" s="1">
        <v>0</v>
      </c>
      <c r="O105">
        <v>0</v>
      </c>
    </row>
    <row r="106" spans="2:15">
      <c r="B106" s="2">
        <v>353</v>
      </c>
      <c r="C106">
        <v>13</v>
      </c>
      <c r="E106" s="22">
        <v>4100</v>
      </c>
      <c r="F106" s="4">
        <f t="shared" si="1"/>
        <v>26.290000000000003</v>
      </c>
      <c r="G106" s="3">
        <v>46023</v>
      </c>
      <c r="H106">
        <v>2</v>
      </c>
      <c r="M106">
        <v>10</v>
      </c>
      <c r="N106" s="1">
        <v>0</v>
      </c>
      <c r="O106">
        <v>0</v>
      </c>
    </row>
    <row r="107" spans="2:15">
      <c r="B107" s="2">
        <v>353</v>
      </c>
      <c r="C107">
        <v>13</v>
      </c>
      <c r="E107" s="22">
        <v>4262</v>
      </c>
      <c r="F107" s="4">
        <f t="shared" si="1"/>
        <v>27.330000000000002</v>
      </c>
      <c r="G107" s="3">
        <v>46023</v>
      </c>
      <c r="H107">
        <v>3</v>
      </c>
      <c r="M107">
        <v>10</v>
      </c>
      <c r="N107" s="1">
        <v>0</v>
      </c>
      <c r="O107">
        <v>0</v>
      </c>
    </row>
    <row r="108" spans="2:15">
      <c r="B108" s="2">
        <v>353</v>
      </c>
      <c r="C108">
        <v>13</v>
      </c>
      <c r="E108" s="22">
        <v>4424</v>
      </c>
      <c r="F108" s="4">
        <f t="shared" si="1"/>
        <v>28.360000000000003</v>
      </c>
      <c r="G108" s="3">
        <v>46023</v>
      </c>
      <c r="H108">
        <v>4</v>
      </c>
      <c r="M108">
        <v>10</v>
      </c>
      <c r="N108" s="1">
        <v>0</v>
      </c>
      <c r="O108">
        <v>0</v>
      </c>
    </row>
    <row r="109" spans="2:15">
      <c r="B109" s="2">
        <v>353</v>
      </c>
      <c r="C109">
        <v>13</v>
      </c>
      <c r="E109" s="22">
        <v>4585</v>
      </c>
      <c r="F109" s="4">
        <f t="shared" si="1"/>
        <v>29.400000000000002</v>
      </c>
      <c r="G109" s="3">
        <v>46023</v>
      </c>
      <c r="H109">
        <v>5</v>
      </c>
      <c r="M109">
        <v>10</v>
      </c>
      <c r="N109" s="1">
        <v>0</v>
      </c>
      <c r="O109">
        <v>0</v>
      </c>
    </row>
    <row r="110" spans="2:15">
      <c r="B110" s="2">
        <v>353</v>
      </c>
      <c r="C110">
        <v>13</v>
      </c>
      <c r="E110" s="22">
        <v>4746</v>
      </c>
      <c r="F110" s="4">
        <f t="shared" si="1"/>
        <v>30.430000000000003</v>
      </c>
      <c r="G110" s="3">
        <v>46023</v>
      </c>
      <c r="H110">
        <v>6</v>
      </c>
      <c r="M110">
        <v>10</v>
      </c>
      <c r="N110" s="1">
        <v>0</v>
      </c>
      <c r="O110">
        <v>0</v>
      </c>
    </row>
    <row r="111" spans="2:15">
      <c r="B111" s="2">
        <v>353</v>
      </c>
      <c r="C111">
        <v>13</v>
      </c>
      <c r="E111" s="22">
        <v>4908</v>
      </c>
      <c r="F111" s="4">
        <f t="shared" si="1"/>
        <v>31.470000000000002</v>
      </c>
      <c r="G111" s="3">
        <v>46023</v>
      </c>
      <c r="H111">
        <v>7</v>
      </c>
      <c r="M111">
        <v>10</v>
      </c>
      <c r="N111" s="1">
        <v>0</v>
      </c>
      <c r="O111">
        <v>0</v>
      </c>
    </row>
    <row r="112" spans="2:15">
      <c r="B112" s="2">
        <v>353</v>
      </c>
      <c r="C112">
        <v>13</v>
      </c>
      <c r="E112" s="22">
        <v>5070</v>
      </c>
      <c r="F112" s="4">
        <f t="shared" si="1"/>
        <v>32.5</v>
      </c>
      <c r="G112" s="3">
        <v>46023</v>
      </c>
      <c r="H112">
        <v>8</v>
      </c>
      <c r="M112">
        <v>10</v>
      </c>
      <c r="N112" s="1">
        <v>0</v>
      </c>
      <c r="O112">
        <v>0</v>
      </c>
    </row>
    <row r="113" spans="2:15">
      <c r="B113" s="2">
        <v>353</v>
      </c>
      <c r="C113">
        <v>13</v>
      </c>
      <c r="E113" s="22">
        <v>5232</v>
      </c>
      <c r="F113" s="4">
        <f t="shared" si="1"/>
        <v>33.54</v>
      </c>
      <c r="G113" s="3">
        <v>46023</v>
      </c>
      <c r="H113">
        <v>9</v>
      </c>
      <c r="M113">
        <v>10</v>
      </c>
      <c r="N113" s="1">
        <v>0</v>
      </c>
      <c r="O113">
        <v>0</v>
      </c>
    </row>
    <row r="114" spans="2:15">
      <c r="B114" s="2">
        <v>353</v>
      </c>
      <c r="C114">
        <v>13</v>
      </c>
      <c r="E114" s="22">
        <v>5393</v>
      </c>
      <c r="F114" s="4">
        <f t="shared" si="1"/>
        <v>34.58</v>
      </c>
      <c r="G114" s="3">
        <v>46023</v>
      </c>
      <c r="H114">
        <v>10</v>
      </c>
      <c r="M114">
        <v>10</v>
      </c>
      <c r="N114" s="1">
        <v>0</v>
      </c>
      <c r="O114">
        <v>0</v>
      </c>
    </row>
    <row r="115" spans="2:15">
      <c r="B115" s="2">
        <v>353</v>
      </c>
      <c r="C115">
        <v>13</v>
      </c>
      <c r="E115" s="22">
        <v>5554</v>
      </c>
      <c r="F115" s="4">
        <f t="shared" si="1"/>
        <v>35.61</v>
      </c>
      <c r="G115" s="3">
        <v>46023</v>
      </c>
      <c r="H115">
        <v>11</v>
      </c>
      <c r="M115">
        <v>10</v>
      </c>
      <c r="N115" s="1">
        <v>0</v>
      </c>
      <c r="O115">
        <v>0</v>
      </c>
    </row>
    <row r="116" spans="2:15">
      <c r="B116" s="2">
        <v>353</v>
      </c>
      <c r="C116">
        <v>13</v>
      </c>
      <c r="E116" s="17">
        <v>4132</v>
      </c>
      <c r="F116" s="4">
        <f t="shared" si="1"/>
        <v>26.490000000000002</v>
      </c>
      <c r="G116" s="3">
        <v>46023</v>
      </c>
      <c r="H116">
        <v>0</v>
      </c>
      <c r="M116" t="s">
        <v>22</v>
      </c>
      <c r="N116" s="1">
        <v>0</v>
      </c>
      <c r="O116">
        <v>0</v>
      </c>
    </row>
    <row r="117" spans="2:15">
      <c r="B117" s="2">
        <v>353</v>
      </c>
      <c r="C117">
        <v>13</v>
      </c>
      <c r="E117" s="22">
        <v>4298</v>
      </c>
      <c r="F117" s="4">
        <f t="shared" si="1"/>
        <v>27.560000000000002</v>
      </c>
      <c r="G117" s="3">
        <v>46023</v>
      </c>
      <c r="H117">
        <v>1</v>
      </c>
      <c r="M117" t="s">
        <v>22</v>
      </c>
      <c r="N117" s="1">
        <v>0</v>
      </c>
      <c r="O117">
        <v>0</v>
      </c>
    </row>
    <row r="118" spans="2:15">
      <c r="B118" s="2">
        <v>353</v>
      </c>
      <c r="C118">
        <v>13</v>
      </c>
      <c r="E118" s="22">
        <v>4464</v>
      </c>
      <c r="F118" s="4">
        <f t="shared" si="1"/>
        <v>28.62</v>
      </c>
      <c r="G118" s="3">
        <v>46023</v>
      </c>
      <c r="H118">
        <v>2</v>
      </c>
      <c r="M118" t="s">
        <v>22</v>
      </c>
      <c r="N118" s="1">
        <v>0</v>
      </c>
      <c r="O118">
        <v>0</v>
      </c>
    </row>
    <row r="119" spans="2:15">
      <c r="B119" s="2">
        <v>353</v>
      </c>
      <c r="C119">
        <v>13</v>
      </c>
      <c r="E119" s="22">
        <v>4630</v>
      </c>
      <c r="F119" s="4">
        <f t="shared" si="1"/>
        <v>29.680000000000003</v>
      </c>
      <c r="G119" s="3">
        <v>46023</v>
      </c>
      <c r="H119">
        <v>3</v>
      </c>
      <c r="M119" t="s">
        <v>22</v>
      </c>
      <c r="N119" s="1">
        <v>0</v>
      </c>
      <c r="O119">
        <v>0</v>
      </c>
    </row>
    <row r="120" spans="2:15">
      <c r="B120" s="2">
        <v>353</v>
      </c>
      <c r="C120">
        <v>13</v>
      </c>
      <c r="E120" s="22">
        <v>4795</v>
      </c>
      <c r="F120" s="4">
        <f t="shared" si="1"/>
        <v>30.740000000000002</v>
      </c>
      <c r="G120" s="3">
        <v>46023</v>
      </c>
      <c r="H120">
        <v>4</v>
      </c>
      <c r="M120" t="s">
        <v>22</v>
      </c>
      <c r="N120" s="1">
        <v>0</v>
      </c>
      <c r="O120">
        <v>0</v>
      </c>
    </row>
    <row r="121" spans="2:15">
      <c r="B121" s="2">
        <v>353</v>
      </c>
      <c r="C121">
        <v>13</v>
      </c>
      <c r="E121" s="22">
        <v>4961</v>
      </c>
      <c r="F121" s="4">
        <f t="shared" si="1"/>
        <v>31.810000000000002</v>
      </c>
      <c r="G121" s="3">
        <v>46023</v>
      </c>
      <c r="H121">
        <v>5</v>
      </c>
      <c r="M121" t="s">
        <v>22</v>
      </c>
      <c r="N121" s="1">
        <v>0</v>
      </c>
      <c r="O121">
        <v>0</v>
      </c>
    </row>
    <row r="122" spans="2:15">
      <c r="B122" s="2">
        <v>353</v>
      </c>
      <c r="C122">
        <v>13</v>
      </c>
      <c r="E122" s="22">
        <v>5126</v>
      </c>
      <c r="F122" s="4">
        <f t="shared" si="1"/>
        <v>32.86</v>
      </c>
      <c r="G122" s="3">
        <v>46023</v>
      </c>
      <c r="H122">
        <v>6</v>
      </c>
      <c r="M122" t="s">
        <v>22</v>
      </c>
      <c r="N122" s="1">
        <v>0</v>
      </c>
      <c r="O122">
        <v>0</v>
      </c>
    </row>
    <row r="123" spans="2:15">
      <c r="B123" s="2">
        <v>353</v>
      </c>
      <c r="C123">
        <v>13</v>
      </c>
      <c r="E123" s="22">
        <v>5292</v>
      </c>
      <c r="F123" s="4">
        <f t="shared" si="1"/>
        <v>33.93</v>
      </c>
      <c r="G123" s="3">
        <v>46023</v>
      </c>
      <c r="H123">
        <v>7</v>
      </c>
      <c r="M123" t="s">
        <v>22</v>
      </c>
      <c r="N123" s="1">
        <v>0</v>
      </c>
      <c r="O123">
        <v>0</v>
      </c>
    </row>
    <row r="124" spans="2:15">
      <c r="B124" s="2">
        <v>353</v>
      </c>
      <c r="C124">
        <v>13</v>
      </c>
      <c r="E124" s="22">
        <v>5458</v>
      </c>
      <c r="F124" s="4">
        <f t="shared" si="1"/>
        <v>34.989999999999995</v>
      </c>
      <c r="G124" s="3">
        <v>46023</v>
      </c>
      <c r="H124">
        <v>8</v>
      </c>
      <c r="M124" t="s">
        <v>22</v>
      </c>
      <c r="N124" s="1">
        <v>0</v>
      </c>
      <c r="O124">
        <v>0</v>
      </c>
    </row>
    <row r="125" spans="2:15">
      <c r="B125" s="2">
        <v>353</v>
      </c>
      <c r="C125">
        <v>13</v>
      </c>
      <c r="E125" s="22">
        <v>5622</v>
      </c>
      <c r="F125" s="4">
        <f t="shared" si="1"/>
        <v>36.04</v>
      </c>
      <c r="G125" s="3">
        <v>46023</v>
      </c>
      <c r="H125">
        <v>9</v>
      </c>
      <c r="M125" t="s">
        <v>22</v>
      </c>
      <c r="N125" s="1">
        <v>0</v>
      </c>
      <c r="O125">
        <v>0</v>
      </c>
    </row>
    <row r="126" spans="2:15">
      <c r="B126" s="2">
        <v>353</v>
      </c>
      <c r="C126">
        <v>13</v>
      </c>
      <c r="E126" s="22">
        <v>5784</v>
      </c>
      <c r="F126" s="4">
        <f t="shared" si="1"/>
        <v>37.08</v>
      </c>
      <c r="G126" s="3">
        <v>46023</v>
      </c>
      <c r="H126">
        <v>10</v>
      </c>
      <c r="M126" t="s">
        <v>22</v>
      </c>
      <c r="N126" s="1">
        <v>0</v>
      </c>
      <c r="O126">
        <v>0</v>
      </c>
    </row>
    <row r="127" spans="2:15">
      <c r="B127" s="2">
        <v>353</v>
      </c>
      <c r="C127">
        <v>13</v>
      </c>
      <c r="E127" s="22">
        <v>5947</v>
      </c>
      <c r="F127" s="4">
        <f t="shared" si="1"/>
        <v>38.129999999999995</v>
      </c>
      <c r="G127" s="3">
        <v>46023</v>
      </c>
      <c r="H127">
        <v>11</v>
      </c>
      <c r="M127" t="s">
        <v>22</v>
      </c>
      <c r="N127" s="1">
        <v>0</v>
      </c>
      <c r="O127">
        <v>0</v>
      </c>
    </row>
    <row r="128" spans="2:15">
      <c r="B128" s="2">
        <v>353</v>
      </c>
      <c r="C128">
        <v>13</v>
      </c>
      <c r="E128" s="16">
        <v>4465</v>
      </c>
      <c r="F128" s="4">
        <f t="shared" si="1"/>
        <v>28.630000000000003</v>
      </c>
      <c r="G128" s="3">
        <v>46023</v>
      </c>
      <c r="H128">
        <v>0</v>
      </c>
      <c r="M128">
        <v>11</v>
      </c>
      <c r="N128" s="1">
        <v>0</v>
      </c>
      <c r="O128">
        <v>0</v>
      </c>
    </row>
    <row r="129" spans="2:15">
      <c r="B129" s="2">
        <v>353</v>
      </c>
      <c r="C129">
        <v>13</v>
      </c>
      <c r="E129" s="21">
        <v>4637</v>
      </c>
      <c r="F129" s="4">
        <f t="shared" si="1"/>
        <v>29.73</v>
      </c>
      <c r="G129" s="3">
        <v>46023</v>
      </c>
      <c r="H129">
        <v>1</v>
      </c>
      <c r="M129">
        <v>11</v>
      </c>
      <c r="N129" s="1">
        <v>0</v>
      </c>
      <c r="O129">
        <v>0</v>
      </c>
    </row>
    <row r="130" spans="2:15">
      <c r="B130" s="2">
        <v>353</v>
      </c>
      <c r="C130">
        <v>13</v>
      </c>
      <c r="E130" s="21">
        <v>4809</v>
      </c>
      <c r="F130" s="4">
        <f t="shared" si="1"/>
        <v>30.830000000000002</v>
      </c>
      <c r="G130" s="3">
        <v>46023</v>
      </c>
      <c r="H130">
        <v>2</v>
      </c>
      <c r="M130">
        <v>11</v>
      </c>
      <c r="N130" s="1">
        <v>0</v>
      </c>
      <c r="O130">
        <v>0</v>
      </c>
    </row>
    <row r="131" spans="2:15">
      <c r="B131" s="2">
        <v>353</v>
      </c>
      <c r="C131">
        <v>13</v>
      </c>
      <c r="E131" s="21">
        <v>4981</v>
      </c>
      <c r="F131" s="4">
        <f t="shared" ref="F131:F194" si="2">ROUNDUP(E131/156,2)</f>
        <v>31.930000000000003</v>
      </c>
      <c r="G131" s="3">
        <v>46023</v>
      </c>
      <c r="H131">
        <v>3</v>
      </c>
      <c r="M131">
        <v>11</v>
      </c>
      <c r="N131" s="1">
        <v>0</v>
      </c>
      <c r="O131">
        <v>0</v>
      </c>
    </row>
    <row r="132" spans="2:15">
      <c r="B132" s="2">
        <v>353</v>
      </c>
      <c r="C132">
        <v>13</v>
      </c>
      <c r="E132" s="21">
        <v>5153</v>
      </c>
      <c r="F132" s="4">
        <f t="shared" si="2"/>
        <v>33.04</v>
      </c>
      <c r="G132" s="3">
        <v>46023</v>
      </c>
      <c r="H132">
        <v>4</v>
      </c>
      <c r="M132">
        <v>11</v>
      </c>
      <c r="N132" s="1">
        <v>0</v>
      </c>
      <c r="O132">
        <v>0</v>
      </c>
    </row>
    <row r="133" spans="2:15">
      <c r="B133" s="2">
        <v>353</v>
      </c>
      <c r="C133">
        <v>13</v>
      </c>
      <c r="E133" s="21">
        <v>5325</v>
      </c>
      <c r="F133" s="4">
        <f t="shared" si="2"/>
        <v>34.14</v>
      </c>
      <c r="G133" s="3">
        <v>46023</v>
      </c>
      <c r="H133">
        <v>5</v>
      </c>
      <c r="M133">
        <v>11</v>
      </c>
      <c r="N133" s="1">
        <v>0</v>
      </c>
      <c r="O133">
        <v>0</v>
      </c>
    </row>
    <row r="134" spans="2:15">
      <c r="B134" s="2">
        <v>353</v>
      </c>
      <c r="C134">
        <v>13</v>
      </c>
      <c r="E134" s="21">
        <v>5498</v>
      </c>
      <c r="F134" s="4">
        <f t="shared" si="2"/>
        <v>35.25</v>
      </c>
      <c r="G134" s="3">
        <v>46023</v>
      </c>
      <c r="H134">
        <v>6</v>
      </c>
      <c r="M134">
        <v>11</v>
      </c>
      <c r="N134" s="1">
        <v>0</v>
      </c>
      <c r="O134">
        <v>0</v>
      </c>
    </row>
    <row r="135" spans="2:15">
      <c r="B135" s="2">
        <v>353</v>
      </c>
      <c r="C135">
        <v>13</v>
      </c>
      <c r="E135" s="21">
        <v>5667</v>
      </c>
      <c r="F135" s="4">
        <f t="shared" si="2"/>
        <v>36.33</v>
      </c>
      <c r="G135" s="3">
        <v>46023</v>
      </c>
      <c r="H135">
        <v>7</v>
      </c>
      <c r="M135">
        <v>11</v>
      </c>
      <c r="N135" s="1">
        <v>0</v>
      </c>
      <c r="O135">
        <v>0</v>
      </c>
    </row>
    <row r="136" spans="2:15">
      <c r="B136" s="2">
        <v>353</v>
      </c>
      <c r="C136">
        <v>13</v>
      </c>
      <c r="E136" s="21">
        <v>5836</v>
      </c>
      <c r="F136" s="4">
        <f t="shared" si="2"/>
        <v>37.419999999999995</v>
      </c>
      <c r="G136" s="3">
        <v>46023</v>
      </c>
      <c r="H136">
        <v>8</v>
      </c>
      <c r="M136">
        <v>11</v>
      </c>
      <c r="N136" s="1">
        <v>0</v>
      </c>
      <c r="O136">
        <v>0</v>
      </c>
    </row>
    <row r="137" spans="2:15">
      <c r="B137" s="2">
        <v>353</v>
      </c>
      <c r="C137">
        <v>13</v>
      </c>
      <c r="E137" s="21">
        <v>6005</v>
      </c>
      <c r="F137" s="4">
        <f t="shared" si="2"/>
        <v>38.5</v>
      </c>
      <c r="G137" s="3">
        <v>46023</v>
      </c>
      <c r="H137">
        <v>9</v>
      </c>
      <c r="M137">
        <v>11</v>
      </c>
      <c r="N137" s="1">
        <v>0</v>
      </c>
      <c r="O137">
        <v>0</v>
      </c>
    </row>
    <row r="138" spans="2:15">
      <c r="B138" s="2">
        <v>353</v>
      </c>
      <c r="C138">
        <v>13</v>
      </c>
      <c r="E138" s="21">
        <v>6174</v>
      </c>
      <c r="F138" s="4">
        <f t="shared" si="2"/>
        <v>39.58</v>
      </c>
      <c r="G138" s="3">
        <v>46023</v>
      </c>
      <c r="H138">
        <v>10</v>
      </c>
      <c r="M138">
        <v>11</v>
      </c>
      <c r="N138" s="1">
        <v>0</v>
      </c>
      <c r="O138">
        <v>0</v>
      </c>
    </row>
    <row r="139" spans="2:15">
      <c r="B139" s="2">
        <v>353</v>
      </c>
      <c r="C139">
        <v>13</v>
      </c>
      <c r="E139" s="21">
        <v>6343</v>
      </c>
      <c r="F139" s="4">
        <f t="shared" si="2"/>
        <v>40.669999999999995</v>
      </c>
      <c r="G139" s="3">
        <v>46023</v>
      </c>
      <c r="H139">
        <v>11</v>
      </c>
      <c r="M139">
        <v>11</v>
      </c>
      <c r="N139" s="1">
        <v>0</v>
      </c>
      <c r="O139">
        <v>0</v>
      </c>
    </row>
    <row r="140" spans="2:15">
      <c r="B140" s="2">
        <v>353</v>
      </c>
      <c r="C140">
        <v>13</v>
      </c>
      <c r="E140" s="17">
        <v>4884</v>
      </c>
      <c r="F140" s="4">
        <f t="shared" si="2"/>
        <v>31.310000000000002</v>
      </c>
      <c r="G140" s="3">
        <v>46023</v>
      </c>
      <c r="H140">
        <v>0</v>
      </c>
      <c r="M140" t="s">
        <v>23</v>
      </c>
      <c r="N140" s="1">
        <v>0</v>
      </c>
      <c r="O140">
        <v>0</v>
      </c>
    </row>
    <row r="141" spans="2:15">
      <c r="B141" s="2">
        <v>353</v>
      </c>
      <c r="C141">
        <v>13</v>
      </c>
      <c r="E141" s="22">
        <v>5056</v>
      </c>
      <c r="F141" s="4">
        <f t="shared" si="2"/>
        <v>32.419999999999995</v>
      </c>
      <c r="G141" s="3">
        <v>46023</v>
      </c>
      <c r="H141">
        <v>1</v>
      </c>
      <c r="M141" t="s">
        <v>23</v>
      </c>
      <c r="N141" s="1">
        <v>0</v>
      </c>
      <c r="O141">
        <v>0</v>
      </c>
    </row>
    <row r="142" spans="2:15">
      <c r="B142" s="2">
        <v>353</v>
      </c>
      <c r="C142">
        <v>13</v>
      </c>
      <c r="E142" s="22">
        <v>5228</v>
      </c>
      <c r="F142" s="4">
        <f t="shared" si="2"/>
        <v>33.519999999999996</v>
      </c>
      <c r="G142" s="3">
        <v>46023</v>
      </c>
      <c r="H142">
        <v>2</v>
      </c>
      <c r="M142" t="s">
        <v>23</v>
      </c>
      <c r="N142" s="1">
        <v>0</v>
      </c>
      <c r="O142">
        <v>0</v>
      </c>
    </row>
    <row r="143" spans="2:15">
      <c r="B143" s="2">
        <v>353</v>
      </c>
      <c r="C143">
        <v>13</v>
      </c>
      <c r="E143" s="22">
        <v>5399</v>
      </c>
      <c r="F143" s="4">
        <f t="shared" si="2"/>
        <v>34.61</v>
      </c>
      <c r="G143" s="3">
        <v>46023</v>
      </c>
      <c r="H143">
        <v>3</v>
      </c>
      <c r="M143" t="s">
        <v>23</v>
      </c>
      <c r="N143" s="1">
        <v>0</v>
      </c>
      <c r="O143">
        <v>0</v>
      </c>
    </row>
    <row r="144" spans="2:15">
      <c r="B144" s="2">
        <v>353</v>
      </c>
      <c r="C144">
        <v>13</v>
      </c>
      <c r="E144" s="22">
        <v>5570</v>
      </c>
      <c r="F144" s="4">
        <f t="shared" si="2"/>
        <v>35.71</v>
      </c>
      <c r="G144" s="3">
        <v>46023</v>
      </c>
      <c r="H144">
        <v>4</v>
      </c>
      <c r="M144" t="s">
        <v>23</v>
      </c>
      <c r="N144" s="1">
        <v>0</v>
      </c>
      <c r="O144">
        <v>0</v>
      </c>
    </row>
    <row r="145" spans="2:15">
      <c r="B145" s="2">
        <v>353</v>
      </c>
      <c r="C145">
        <v>13</v>
      </c>
      <c r="E145" s="22">
        <v>5739</v>
      </c>
      <c r="F145" s="4">
        <f t="shared" si="2"/>
        <v>36.79</v>
      </c>
      <c r="G145" s="3">
        <v>46023</v>
      </c>
      <c r="H145">
        <v>5</v>
      </c>
      <c r="M145" t="s">
        <v>23</v>
      </c>
      <c r="N145" s="1">
        <v>0</v>
      </c>
      <c r="O145">
        <v>0</v>
      </c>
    </row>
    <row r="146" spans="2:15">
      <c r="B146" s="2">
        <v>353</v>
      </c>
      <c r="C146">
        <v>13</v>
      </c>
      <c r="E146" s="22">
        <v>5908</v>
      </c>
      <c r="F146" s="4">
        <f t="shared" si="2"/>
        <v>37.879999999999995</v>
      </c>
      <c r="G146" s="3">
        <v>46023</v>
      </c>
      <c r="H146">
        <v>6</v>
      </c>
      <c r="M146" t="s">
        <v>23</v>
      </c>
      <c r="N146" s="1">
        <v>0</v>
      </c>
      <c r="O146">
        <v>0</v>
      </c>
    </row>
    <row r="147" spans="2:15">
      <c r="B147" s="2">
        <v>353</v>
      </c>
      <c r="C147">
        <v>13</v>
      </c>
      <c r="E147" s="22">
        <v>6077</v>
      </c>
      <c r="F147" s="4">
        <f t="shared" si="2"/>
        <v>38.96</v>
      </c>
      <c r="G147" s="3">
        <v>46023</v>
      </c>
      <c r="H147">
        <v>7</v>
      </c>
      <c r="M147" t="s">
        <v>23</v>
      </c>
      <c r="N147" s="1">
        <v>0</v>
      </c>
      <c r="O147">
        <v>0</v>
      </c>
    </row>
    <row r="148" spans="2:15">
      <c r="B148" s="2">
        <v>353</v>
      </c>
      <c r="C148">
        <v>13</v>
      </c>
      <c r="E148" s="22">
        <v>6246</v>
      </c>
      <c r="F148" s="4">
        <f t="shared" si="2"/>
        <v>40.04</v>
      </c>
      <c r="G148" s="3">
        <v>46023</v>
      </c>
      <c r="H148">
        <v>8</v>
      </c>
      <c r="M148" t="s">
        <v>23</v>
      </c>
      <c r="N148" s="1">
        <v>0</v>
      </c>
      <c r="O148">
        <v>0</v>
      </c>
    </row>
    <row r="149" spans="2:15">
      <c r="B149" s="2">
        <v>353</v>
      </c>
      <c r="C149">
        <v>13</v>
      </c>
      <c r="E149" s="22">
        <v>6414</v>
      </c>
      <c r="F149" s="4">
        <f t="shared" si="2"/>
        <v>41.12</v>
      </c>
      <c r="G149" s="3">
        <v>46023</v>
      </c>
      <c r="H149">
        <v>9</v>
      </c>
      <c r="M149" t="s">
        <v>23</v>
      </c>
      <c r="N149" s="1">
        <v>0</v>
      </c>
      <c r="O149">
        <v>0</v>
      </c>
    </row>
    <row r="150" spans="2:15">
      <c r="B150" s="2">
        <v>353</v>
      </c>
      <c r="C150">
        <v>13</v>
      </c>
      <c r="E150" s="22">
        <v>6582</v>
      </c>
      <c r="F150" s="4">
        <f t="shared" si="2"/>
        <v>42.199999999999996</v>
      </c>
      <c r="G150" s="3">
        <v>46023</v>
      </c>
      <c r="H150">
        <v>10</v>
      </c>
      <c r="M150" t="s">
        <v>23</v>
      </c>
      <c r="N150" s="1">
        <v>0</v>
      </c>
      <c r="O150">
        <v>0</v>
      </c>
    </row>
    <row r="151" spans="2:15">
      <c r="B151" s="2">
        <v>353</v>
      </c>
      <c r="C151">
        <v>13</v>
      </c>
      <c r="E151" s="22">
        <v>6751</v>
      </c>
      <c r="F151" s="4">
        <f t="shared" si="2"/>
        <v>43.28</v>
      </c>
      <c r="G151" s="3">
        <v>46023</v>
      </c>
      <c r="H151">
        <v>11</v>
      </c>
      <c r="M151" t="s">
        <v>23</v>
      </c>
      <c r="N151" s="1">
        <v>0</v>
      </c>
      <c r="O151">
        <v>0</v>
      </c>
    </row>
    <row r="152" spans="2:15">
      <c r="B152" s="2">
        <v>353</v>
      </c>
      <c r="C152">
        <v>13</v>
      </c>
      <c r="E152" s="16">
        <v>5303</v>
      </c>
      <c r="F152" s="4">
        <f t="shared" si="2"/>
        <v>34</v>
      </c>
      <c r="G152" s="3">
        <v>46023</v>
      </c>
      <c r="H152">
        <v>0</v>
      </c>
      <c r="M152">
        <v>12</v>
      </c>
      <c r="N152" s="1">
        <v>0</v>
      </c>
      <c r="O152">
        <v>0</v>
      </c>
    </row>
    <row r="153" spans="2:15">
      <c r="B153" s="2">
        <v>353</v>
      </c>
      <c r="C153">
        <v>13</v>
      </c>
      <c r="E153" s="21">
        <v>5475</v>
      </c>
      <c r="F153" s="4">
        <f t="shared" si="2"/>
        <v>35.1</v>
      </c>
      <c r="G153" s="3">
        <v>46023</v>
      </c>
      <c r="H153">
        <v>1</v>
      </c>
      <c r="M153">
        <v>12</v>
      </c>
      <c r="N153" s="1">
        <v>0</v>
      </c>
      <c r="O153">
        <v>0</v>
      </c>
    </row>
    <row r="154" spans="2:15">
      <c r="B154" s="2">
        <v>353</v>
      </c>
      <c r="C154">
        <v>13</v>
      </c>
      <c r="E154" s="21">
        <v>5645</v>
      </c>
      <c r="F154" s="4">
        <f t="shared" si="2"/>
        <v>36.19</v>
      </c>
      <c r="G154" s="3">
        <v>46023</v>
      </c>
      <c r="H154">
        <v>2</v>
      </c>
      <c r="M154">
        <v>12</v>
      </c>
      <c r="N154" s="1">
        <v>0</v>
      </c>
      <c r="O154">
        <v>0</v>
      </c>
    </row>
    <row r="155" spans="2:15">
      <c r="B155" s="2">
        <v>353</v>
      </c>
      <c r="C155">
        <v>13</v>
      </c>
      <c r="E155" s="21">
        <v>5814</v>
      </c>
      <c r="F155" s="4">
        <f t="shared" si="2"/>
        <v>37.269999999999996</v>
      </c>
      <c r="G155" s="3">
        <v>46023</v>
      </c>
      <c r="H155">
        <v>3</v>
      </c>
      <c r="M155">
        <v>12</v>
      </c>
      <c r="N155" s="1">
        <v>0</v>
      </c>
      <c r="O155">
        <v>0</v>
      </c>
    </row>
    <row r="156" spans="2:15">
      <c r="B156" s="2">
        <v>353</v>
      </c>
      <c r="C156">
        <v>13</v>
      </c>
      <c r="E156" s="21">
        <v>5982</v>
      </c>
      <c r="F156" s="4">
        <f t="shared" si="2"/>
        <v>38.35</v>
      </c>
      <c r="G156" s="3">
        <v>46023</v>
      </c>
      <c r="H156">
        <v>4</v>
      </c>
      <c r="M156">
        <v>12</v>
      </c>
      <c r="N156" s="1">
        <v>0</v>
      </c>
      <c r="O156">
        <v>0</v>
      </c>
    </row>
    <row r="157" spans="2:15">
      <c r="B157" s="2">
        <v>353</v>
      </c>
      <c r="C157">
        <v>13</v>
      </c>
      <c r="E157" s="21">
        <v>6151</v>
      </c>
      <c r="F157" s="4">
        <f t="shared" si="2"/>
        <v>39.43</v>
      </c>
      <c r="G157" s="3">
        <v>46023</v>
      </c>
      <c r="H157">
        <v>5</v>
      </c>
      <c r="M157">
        <v>12</v>
      </c>
      <c r="N157" s="1">
        <v>0</v>
      </c>
      <c r="O157">
        <v>0</v>
      </c>
    </row>
    <row r="158" spans="2:15">
      <c r="B158" s="2">
        <v>353</v>
      </c>
      <c r="C158">
        <v>13</v>
      </c>
      <c r="E158" s="21">
        <v>6319</v>
      </c>
      <c r="F158" s="4">
        <f t="shared" si="2"/>
        <v>40.51</v>
      </c>
      <c r="G158" s="3">
        <v>46023</v>
      </c>
      <c r="H158">
        <v>6</v>
      </c>
      <c r="M158">
        <v>12</v>
      </c>
      <c r="N158" s="1">
        <v>0</v>
      </c>
      <c r="O158">
        <v>0</v>
      </c>
    </row>
    <row r="159" spans="2:15">
      <c r="B159" s="2">
        <v>353</v>
      </c>
      <c r="C159">
        <v>13</v>
      </c>
      <c r="E159" s="21">
        <v>6488</v>
      </c>
      <c r="F159" s="4">
        <f t="shared" si="2"/>
        <v>41.589999999999996</v>
      </c>
      <c r="G159" s="3">
        <v>46023</v>
      </c>
      <c r="H159">
        <v>7</v>
      </c>
      <c r="M159">
        <v>12</v>
      </c>
      <c r="N159" s="1">
        <v>0</v>
      </c>
      <c r="O159">
        <v>0</v>
      </c>
    </row>
    <row r="160" spans="2:15">
      <c r="B160" s="2">
        <v>353</v>
      </c>
      <c r="C160">
        <v>13</v>
      </c>
      <c r="E160" s="21">
        <v>6657</v>
      </c>
      <c r="F160" s="4">
        <f t="shared" si="2"/>
        <v>42.68</v>
      </c>
      <c r="G160" s="3">
        <v>46023</v>
      </c>
      <c r="H160">
        <v>8</v>
      </c>
      <c r="M160">
        <v>12</v>
      </c>
      <c r="N160" s="1">
        <v>0</v>
      </c>
      <c r="O160">
        <v>0</v>
      </c>
    </row>
    <row r="161" spans="2:15">
      <c r="B161" s="2">
        <v>353</v>
      </c>
      <c r="C161">
        <v>13</v>
      </c>
      <c r="E161" s="21">
        <v>6826</v>
      </c>
      <c r="F161" s="4">
        <f t="shared" si="2"/>
        <v>43.76</v>
      </c>
      <c r="G161" s="3">
        <v>46023</v>
      </c>
      <c r="H161">
        <v>9</v>
      </c>
      <c r="M161">
        <v>12</v>
      </c>
      <c r="N161" s="1">
        <v>0</v>
      </c>
      <c r="O161">
        <v>0</v>
      </c>
    </row>
    <row r="162" spans="2:15">
      <c r="B162" s="2">
        <v>353</v>
      </c>
      <c r="C162">
        <v>13</v>
      </c>
      <c r="E162" s="21">
        <v>6995</v>
      </c>
      <c r="F162" s="4">
        <f t="shared" si="2"/>
        <v>44.839999999999996</v>
      </c>
      <c r="G162" s="3">
        <v>46023</v>
      </c>
      <c r="H162">
        <v>10</v>
      </c>
      <c r="M162">
        <v>12</v>
      </c>
      <c r="N162" s="1">
        <v>0</v>
      </c>
      <c r="O162">
        <v>0</v>
      </c>
    </row>
    <row r="163" spans="2:15">
      <c r="B163" s="2">
        <v>353</v>
      </c>
      <c r="C163">
        <v>13</v>
      </c>
      <c r="E163" s="21">
        <v>7163</v>
      </c>
      <c r="F163" s="4">
        <f t="shared" si="2"/>
        <v>45.919999999999995</v>
      </c>
      <c r="G163" s="3">
        <v>46023</v>
      </c>
      <c r="H163">
        <v>11</v>
      </c>
      <c r="M163">
        <v>12</v>
      </c>
      <c r="N163" s="1">
        <v>0</v>
      </c>
      <c r="O163">
        <v>0</v>
      </c>
    </row>
    <row r="164" spans="2:15">
      <c r="B164" s="2">
        <v>353</v>
      </c>
      <c r="C164">
        <v>13</v>
      </c>
      <c r="E164" s="16">
        <v>5885</v>
      </c>
      <c r="F164" s="4">
        <f t="shared" si="2"/>
        <v>37.729999999999997</v>
      </c>
      <c r="G164" s="3">
        <v>46023</v>
      </c>
      <c r="H164">
        <v>0</v>
      </c>
      <c r="M164">
        <v>13</v>
      </c>
      <c r="N164" s="1">
        <v>0</v>
      </c>
      <c r="O164">
        <v>0</v>
      </c>
    </row>
    <row r="165" spans="2:15">
      <c r="B165" s="2">
        <v>353</v>
      </c>
      <c r="C165">
        <v>13</v>
      </c>
      <c r="E165" s="21">
        <v>6053</v>
      </c>
      <c r="F165" s="4">
        <f t="shared" si="2"/>
        <v>38.809999999999995</v>
      </c>
      <c r="G165" s="3">
        <v>46023</v>
      </c>
      <c r="H165">
        <v>1</v>
      </c>
      <c r="M165">
        <v>13</v>
      </c>
      <c r="N165" s="1">
        <v>0</v>
      </c>
      <c r="O165">
        <v>0</v>
      </c>
    </row>
    <row r="166" spans="2:15">
      <c r="B166" s="2">
        <v>353</v>
      </c>
      <c r="C166">
        <v>13</v>
      </c>
      <c r="E166" s="21">
        <v>6222</v>
      </c>
      <c r="F166" s="4">
        <f t="shared" si="2"/>
        <v>39.89</v>
      </c>
      <c r="G166" s="3">
        <v>46023</v>
      </c>
      <c r="H166">
        <v>2</v>
      </c>
      <c r="M166">
        <v>13</v>
      </c>
      <c r="N166" s="1">
        <v>0</v>
      </c>
      <c r="O166">
        <v>0</v>
      </c>
    </row>
    <row r="167" spans="2:15">
      <c r="B167" s="2">
        <v>353</v>
      </c>
      <c r="C167">
        <v>13</v>
      </c>
      <c r="E167" s="21">
        <v>6390</v>
      </c>
      <c r="F167" s="4">
        <f t="shared" si="2"/>
        <v>40.97</v>
      </c>
      <c r="G167" s="3">
        <v>46023</v>
      </c>
      <c r="H167">
        <v>3</v>
      </c>
      <c r="M167">
        <v>13</v>
      </c>
      <c r="N167" s="1">
        <v>0</v>
      </c>
      <c r="O167">
        <v>0</v>
      </c>
    </row>
    <row r="168" spans="2:15">
      <c r="B168" s="2">
        <v>353</v>
      </c>
      <c r="C168">
        <v>13</v>
      </c>
      <c r="E168" s="21">
        <v>6559</v>
      </c>
      <c r="F168" s="4">
        <f t="shared" si="2"/>
        <v>42.05</v>
      </c>
      <c r="G168" s="3">
        <v>46023</v>
      </c>
      <c r="H168">
        <v>4</v>
      </c>
      <c r="M168">
        <v>13</v>
      </c>
      <c r="N168" s="1">
        <v>0</v>
      </c>
      <c r="O168">
        <v>0</v>
      </c>
    </row>
    <row r="169" spans="2:15">
      <c r="B169" s="2">
        <v>353</v>
      </c>
      <c r="C169">
        <v>13</v>
      </c>
      <c r="E169" s="21">
        <v>6728</v>
      </c>
      <c r="F169" s="4">
        <f t="shared" si="2"/>
        <v>43.129999999999995</v>
      </c>
      <c r="G169" s="3">
        <v>46023</v>
      </c>
      <c r="H169">
        <v>5</v>
      </c>
      <c r="M169">
        <v>13</v>
      </c>
      <c r="N169" s="1">
        <v>0</v>
      </c>
      <c r="O169">
        <v>0</v>
      </c>
    </row>
    <row r="170" spans="2:15">
      <c r="B170" s="2">
        <v>353</v>
      </c>
      <c r="C170">
        <v>13</v>
      </c>
      <c r="E170" s="21">
        <v>6897</v>
      </c>
      <c r="F170" s="4">
        <f t="shared" si="2"/>
        <v>44.22</v>
      </c>
      <c r="G170" s="3">
        <v>46023</v>
      </c>
      <c r="H170">
        <v>6</v>
      </c>
      <c r="M170">
        <v>13</v>
      </c>
      <c r="N170" s="1">
        <v>0</v>
      </c>
      <c r="O170">
        <v>0</v>
      </c>
    </row>
    <row r="171" spans="2:15">
      <c r="B171" s="2">
        <v>353</v>
      </c>
      <c r="C171">
        <v>13</v>
      </c>
      <c r="E171" s="21">
        <v>7066</v>
      </c>
      <c r="F171" s="4">
        <f t="shared" si="2"/>
        <v>45.3</v>
      </c>
      <c r="G171" s="3">
        <v>46023</v>
      </c>
      <c r="H171">
        <v>7</v>
      </c>
      <c r="M171">
        <v>13</v>
      </c>
      <c r="N171" s="1">
        <v>0</v>
      </c>
      <c r="O171">
        <v>0</v>
      </c>
    </row>
    <row r="172" spans="2:15">
      <c r="B172" s="2">
        <v>353</v>
      </c>
      <c r="C172">
        <v>13</v>
      </c>
      <c r="E172" s="21">
        <v>7234</v>
      </c>
      <c r="F172" s="4">
        <f t="shared" si="2"/>
        <v>46.379999999999995</v>
      </c>
      <c r="G172" s="3">
        <v>46023</v>
      </c>
      <c r="H172">
        <v>8</v>
      </c>
      <c r="M172">
        <v>13</v>
      </c>
      <c r="N172" s="1">
        <v>0</v>
      </c>
      <c r="O172">
        <v>0</v>
      </c>
    </row>
    <row r="173" spans="2:15">
      <c r="B173" s="2">
        <v>353</v>
      </c>
      <c r="C173">
        <v>13</v>
      </c>
      <c r="E173" s="21">
        <v>7402</v>
      </c>
      <c r="F173" s="4">
        <f t="shared" si="2"/>
        <v>47.449999999999996</v>
      </c>
      <c r="G173" s="3">
        <v>46023</v>
      </c>
      <c r="H173">
        <v>9</v>
      </c>
      <c r="M173">
        <v>13</v>
      </c>
      <c r="N173" s="1">
        <v>0</v>
      </c>
      <c r="O173">
        <v>0</v>
      </c>
    </row>
    <row r="174" spans="2:15">
      <c r="B174" s="2">
        <v>353</v>
      </c>
      <c r="C174">
        <v>13</v>
      </c>
      <c r="E174" s="21">
        <v>7571</v>
      </c>
      <c r="F174" s="4">
        <f t="shared" si="2"/>
        <v>48.54</v>
      </c>
      <c r="G174" s="3">
        <v>46023</v>
      </c>
      <c r="H174">
        <v>10</v>
      </c>
      <c r="M174">
        <v>13</v>
      </c>
      <c r="N174" s="1">
        <v>0</v>
      </c>
      <c r="O174">
        <v>0</v>
      </c>
    </row>
    <row r="175" spans="2:15">
      <c r="B175" s="2">
        <v>353</v>
      </c>
      <c r="C175">
        <v>13</v>
      </c>
      <c r="E175" s="21">
        <v>7740</v>
      </c>
      <c r="F175" s="4">
        <f t="shared" si="2"/>
        <v>49.62</v>
      </c>
      <c r="G175" s="3">
        <v>46023</v>
      </c>
      <c r="H175">
        <v>11</v>
      </c>
      <c r="M175">
        <v>13</v>
      </c>
      <c r="N175" s="1">
        <v>0</v>
      </c>
      <c r="O175">
        <v>0</v>
      </c>
    </row>
    <row r="176" spans="2:15">
      <c r="B176" s="2">
        <v>353</v>
      </c>
      <c r="C176">
        <v>13</v>
      </c>
      <c r="E176" s="16">
        <v>6232</v>
      </c>
      <c r="F176" s="4">
        <f t="shared" si="2"/>
        <v>39.949999999999996</v>
      </c>
      <c r="G176" s="3">
        <v>46023</v>
      </c>
      <c r="H176">
        <v>0</v>
      </c>
      <c r="M176">
        <v>14</v>
      </c>
      <c r="N176" s="1">
        <v>0</v>
      </c>
      <c r="O176">
        <v>0</v>
      </c>
    </row>
    <row r="177" spans="2:15">
      <c r="B177" s="2">
        <v>353</v>
      </c>
      <c r="C177">
        <v>13</v>
      </c>
      <c r="E177" s="21">
        <v>6436</v>
      </c>
      <c r="F177" s="4">
        <f t="shared" si="2"/>
        <v>41.26</v>
      </c>
      <c r="G177" s="3">
        <v>46023</v>
      </c>
      <c r="H177">
        <v>1</v>
      </c>
      <c r="M177">
        <v>14</v>
      </c>
      <c r="N177" s="1">
        <v>0</v>
      </c>
      <c r="O177">
        <v>0</v>
      </c>
    </row>
    <row r="178" spans="2:15">
      <c r="B178" s="2">
        <v>353</v>
      </c>
      <c r="C178">
        <v>13</v>
      </c>
      <c r="E178" s="21">
        <v>6640</v>
      </c>
      <c r="F178" s="4">
        <f t="shared" si="2"/>
        <v>42.57</v>
      </c>
      <c r="G178" s="3">
        <v>46023</v>
      </c>
      <c r="H178">
        <v>2</v>
      </c>
      <c r="M178">
        <v>14</v>
      </c>
      <c r="N178" s="1">
        <v>0</v>
      </c>
      <c r="O178">
        <v>0</v>
      </c>
    </row>
    <row r="179" spans="2:15">
      <c r="B179" s="2">
        <v>353</v>
      </c>
      <c r="C179">
        <v>13</v>
      </c>
      <c r="E179" s="21">
        <v>6843</v>
      </c>
      <c r="F179" s="4">
        <f t="shared" si="2"/>
        <v>43.87</v>
      </c>
      <c r="G179" s="3">
        <v>46023</v>
      </c>
      <c r="H179">
        <v>3</v>
      </c>
      <c r="M179">
        <v>14</v>
      </c>
      <c r="N179" s="1">
        <v>0</v>
      </c>
      <c r="O179">
        <v>0</v>
      </c>
    </row>
    <row r="180" spans="2:15">
      <c r="B180" s="2">
        <v>353</v>
      </c>
      <c r="C180">
        <v>13</v>
      </c>
      <c r="E180" s="21">
        <v>7047</v>
      </c>
      <c r="F180" s="4">
        <f t="shared" si="2"/>
        <v>45.18</v>
      </c>
      <c r="G180" s="3">
        <v>46023</v>
      </c>
      <c r="H180">
        <v>4</v>
      </c>
      <c r="M180">
        <v>14</v>
      </c>
      <c r="N180" s="1">
        <v>0</v>
      </c>
      <c r="O180">
        <v>0</v>
      </c>
    </row>
    <row r="181" spans="2:15">
      <c r="B181" s="2">
        <v>353</v>
      </c>
      <c r="C181">
        <v>13</v>
      </c>
      <c r="E181" s="21">
        <v>7251</v>
      </c>
      <c r="F181" s="4">
        <f t="shared" si="2"/>
        <v>46.489999999999995</v>
      </c>
      <c r="G181" s="3">
        <v>46023</v>
      </c>
      <c r="H181">
        <v>5</v>
      </c>
      <c r="M181">
        <v>14</v>
      </c>
      <c r="N181" s="1">
        <v>0</v>
      </c>
      <c r="O181">
        <v>0</v>
      </c>
    </row>
    <row r="182" spans="2:15">
      <c r="B182" s="2">
        <v>353</v>
      </c>
      <c r="C182">
        <v>13</v>
      </c>
      <c r="E182" s="21">
        <v>7455</v>
      </c>
      <c r="F182" s="4">
        <f t="shared" si="2"/>
        <v>47.79</v>
      </c>
      <c r="G182" s="3">
        <v>46023</v>
      </c>
      <c r="H182">
        <v>6</v>
      </c>
      <c r="M182">
        <v>14</v>
      </c>
      <c r="N182" s="1">
        <v>0</v>
      </c>
      <c r="O182">
        <v>0</v>
      </c>
    </row>
    <row r="183" spans="2:15">
      <c r="B183" s="2">
        <v>353</v>
      </c>
      <c r="C183">
        <v>13</v>
      </c>
      <c r="E183" s="21">
        <v>7659</v>
      </c>
      <c r="F183" s="4">
        <f t="shared" si="2"/>
        <v>49.1</v>
      </c>
      <c r="G183" s="3">
        <v>46023</v>
      </c>
      <c r="H183">
        <v>7</v>
      </c>
      <c r="M183">
        <v>14</v>
      </c>
      <c r="N183" s="1">
        <v>0</v>
      </c>
      <c r="O183">
        <v>0</v>
      </c>
    </row>
    <row r="184" spans="2:15">
      <c r="B184" s="2">
        <v>353</v>
      </c>
      <c r="C184">
        <v>13</v>
      </c>
      <c r="E184" s="21">
        <v>7863</v>
      </c>
      <c r="F184" s="4">
        <f t="shared" si="2"/>
        <v>50.41</v>
      </c>
      <c r="G184" s="3">
        <v>46023</v>
      </c>
      <c r="H184">
        <v>8</v>
      </c>
      <c r="M184">
        <v>14</v>
      </c>
      <c r="N184" s="1">
        <v>0</v>
      </c>
      <c r="O184">
        <v>0</v>
      </c>
    </row>
    <row r="185" spans="2:15">
      <c r="B185" s="2">
        <v>353</v>
      </c>
      <c r="C185">
        <v>13</v>
      </c>
      <c r="E185" s="21">
        <v>8066</v>
      </c>
      <c r="F185" s="4">
        <f t="shared" si="2"/>
        <v>51.71</v>
      </c>
      <c r="G185" s="3">
        <v>46023</v>
      </c>
      <c r="H185">
        <v>9</v>
      </c>
      <c r="M185">
        <v>14</v>
      </c>
      <c r="N185" s="1">
        <v>0</v>
      </c>
      <c r="O185">
        <v>0</v>
      </c>
    </row>
    <row r="186" spans="2:15">
      <c r="B186" s="2">
        <v>353</v>
      </c>
      <c r="C186">
        <v>13</v>
      </c>
      <c r="E186" s="21">
        <v>8270</v>
      </c>
      <c r="F186" s="4">
        <f t="shared" si="2"/>
        <v>53.019999999999996</v>
      </c>
      <c r="G186" s="3">
        <v>46023</v>
      </c>
      <c r="H186">
        <v>10</v>
      </c>
      <c r="M186">
        <v>14</v>
      </c>
      <c r="N186" s="1">
        <v>0</v>
      </c>
      <c r="O186">
        <v>0</v>
      </c>
    </row>
    <row r="187" spans="2:15">
      <c r="B187" s="2">
        <v>353</v>
      </c>
      <c r="C187">
        <v>13</v>
      </c>
      <c r="E187" s="21">
        <v>8474</v>
      </c>
      <c r="F187" s="4">
        <f t="shared" si="2"/>
        <v>54.33</v>
      </c>
      <c r="G187" s="3">
        <v>46023</v>
      </c>
      <c r="H187">
        <v>11</v>
      </c>
      <c r="M187">
        <v>14</v>
      </c>
      <c r="N187" s="1">
        <v>0</v>
      </c>
      <c r="O187">
        <v>0</v>
      </c>
    </row>
    <row r="188" spans="2:15">
      <c r="B188" s="2">
        <v>353</v>
      </c>
      <c r="C188">
        <v>13</v>
      </c>
      <c r="E188" s="16">
        <v>6679</v>
      </c>
      <c r="F188" s="4">
        <f t="shared" si="2"/>
        <v>42.82</v>
      </c>
      <c r="G188" s="3">
        <v>46023</v>
      </c>
      <c r="H188">
        <v>0</v>
      </c>
      <c r="M188">
        <v>15</v>
      </c>
      <c r="N188" s="1">
        <v>0</v>
      </c>
      <c r="O188">
        <v>0</v>
      </c>
    </row>
    <row r="189" spans="2:15">
      <c r="B189" s="2">
        <v>353</v>
      </c>
      <c r="C189">
        <v>13</v>
      </c>
      <c r="E189" s="21">
        <v>6914</v>
      </c>
      <c r="F189" s="4">
        <f t="shared" si="2"/>
        <v>44.33</v>
      </c>
      <c r="G189" s="3">
        <v>46023</v>
      </c>
      <c r="H189">
        <v>1</v>
      </c>
      <c r="M189">
        <v>15</v>
      </c>
      <c r="N189" s="1">
        <v>0</v>
      </c>
      <c r="O189">
        <v>0</v>
      </c>
    </row>
    <row r="190" spans="2:15">
      <c r="B190" s="2">
        <v>353</v>
      </c>
      <c r="C190">
        <v>13</v>
      </c>
      <c r="E190" s="21">
        <v>7150</v>
      </c>
      <c r="F190" s="4">
        <f t="shared" si="2"/>
        <v>45.839999999999996</v>
      </c>
      <c r="G190" s="3">
        <v>46023</v>
      </c>
      <c r="H190">
        <v>2</v>
      </c>
      <c r="M190">
        <v>15</v>
      </c>
      <c r="N190" s="1">
        <v>0</v>
      </c>
      <c r="O190">
        <v>0</v>
      </c>
    </row>
    <row r="191" spans="2:15">
      <c r="B191" s="2">
        <v>353</v>
      </c>
      <c r="C191">
        <v>13</v>
      </c>
      <c r="E191" s="21">
        <v>7385</v>
      </c>
      <c r="F191" s="4">
        <f t="shared" si="2"/>
        <v>47.339999999999996</v>
      </c>
      <c r="G191" s="3">
        <v>46023</v>
      </c>
      <c r="H191">
        <v>3</v>
      </c>
      <c r="M191">
        <v>15</v>
      </c>
      <c r="N191" s="1">
        <v>0</v>
      </c>
      <c r="O191">
        <v>0</v>
      </c>
    </row>
    <row r="192" spans="2:15">
      <c r="B192" s="2">
        <v>353</v>
      </c>
      <c r="C192">
        <v>13</v>
      </c>
      <c r="E192" s="21">
        <v>7621</v>
      </c>
      <c r="F192" s="4">
        <f t="shared" si="2"/>
        <v>48.86</v>
      </c>
      <c r="G192" s="3">
        <v>46023</v>
      </c>
      <c r="H192">
        <v>4</v>
      </c>
      <c r="M192">
        <v>15</v>
      </c>
      <c r="N192" s="1">
        <v>0</v>
      </c>
      <c r="O192">
        <v>0</v>
      </c>
    </row>
    <row r="193" spans="2:15">
      <c r="B193" s="2">
        <v>353</v>
      </c>
      <c r="C193">
        <v>13</v>
      </c>
      <c r="E193" s="21">
        <v>7856</v>
      </c>
      <c r="F193" s="4">
        <f t="shared" si="2"/>
        <v>50.36</v>
      </c>
      <c r="G193" s="3">
        <v>46023</v>
      </c>
      <c r="H193">
        <v>5</v>
      </c>
      <c r="M193">
        <v>15</v>
      </c>
      <c r="N193" s="1">
        <v>0</v>
      </c>
      <c r="O193">
        <v>0</v>
      </c>
    </row>
    <row r="194" spans="2:15">
      <c r="B194" s="2">
        <v>353</v>
      </c>
      <c r="C194">
        <v>13</v>
      </c>
      <c r="E194" s="21">
        <v>8092</v>
      </c>
      <c r="F194" s="4">
        <f t="shared" si="2"/>
        <v>51.879999999999995</v>
      </c>
      <c r="G194" s="3">
        <v>46023</v>
      </c>
      <c r="H194">
        <v>6</v>
      </c>
      <c r="M194">
        <v>15</v>
      </c>
      <c r="N194" s="1">
        <v>0</v>
      </c>
      <c r="O194">
        <v>0</v>
      </c>
    </row>
    <row r="195" spans="2:15">
      <c r="B195" s="2">
        <v>353</v>
      </c>
      <c r="C195">
        <v>13</v>
      </c>
      <c r="E195" s="21">
        <v>8328</v>
      </c>
      <c r="F195" s="4">
        <f t="shared" ref="F195:F258" si="3">ROUNDUP(E195/156,2)</f>
        <v>53.39</v>
      </c>
      <c r="G195" s="3">
        <v>46023</v>
      </c>
      <c r="H195">
        <v>7</v>
      </c>
      <c r="M195">
        <v>15</v>
      </c>
      <c r="N195" s="1">
        <v>0</v>
      </c>
      <c r="O195">
        <v>0</v>
      </c>
    </row>
    <row r="196" spans="2:15">
      <c r="B196" s="2">
        <v>353</v>
      </c>
      <c r="C196">
        <v>13</v>
      </c>
      <c r="E196" s="21">
        <v>8563</v>
      </c>
      <c r="F196" s="4">
        <f t="shared" si="3"/>
        <v>54.9</v>
      </c>
      <c r="G196" s="3">
        <v>46023</v>
      </c>
      <c r="H196">
        <v>8</v>
      </c>
      <c r="M196">
        <v>15</v>
      </c>
      <c r="N196" s="1">
        <v>0</v>
      </c>
      <c r="O196">
        <v>0</v>
      </c>
    </row>
    <row r="197" spans="2:15">
      <c r="B197" s="2">
        <v>353</v>
      </c>
      <c r="C197">
        <v>13</v>
      </c>
      <c r="E197" s="21">
        <v>8798</v>
      </c>
      <c r="F197" s="4">
        <f t="shared" si="3"/>
        <v>56.4</v>
      </c>
      <c r="G197" s="3">
        <v>46023</v>
      </c>
      <c r="H197">
        <v>9</v>
      </c>
      <c r="M197">
        <v>15</v>
      </c>
      <c r="N197" s="1">
        <v>0</v>
      </c>
      <c r="O197">
        <v>0</v>
      </c>
    </row>
    <row r="198" spans="2:15">
      <c r="B198" s="2">
        <v>353</v>
      </c>
      <c r="C198">
        <v>13</v>
      </c>
      <c r="E198" s="21">
        <v>9034</v>
      </c>
      <c r="F198" s="4">
        <f t="shared" si="3"/>
        <v>57.919999999999995</v>
      </c>
      <c r="G198" s="3">
        <v>46023</v>
      </c>
      <c r="H198">
        <v>10</v>
      </c>
      <c r="M198">
        <v>15</v>
      </c>
      <c r="N198" s="1">
        <v>0</v>
      </c>
      <c r="O198">
        <v>0</v>
      </c>
    </row>
    <row r="199" spans="2:15">
      <c r="B199" s="2">
        <v>353</v>
      </c>
      <c r="C199">
        <v>13</v>
      </c>
      <c r="E199" s="21">
        <v>9270</v>
      </c>
      <c r="F199" s="4">
        <f t="shared" si="3"/>
        <v>59.43</v>
      </c>
      <c r="G199" s="3">
        <v>46023</v>
      </c>
      <c r="H199">
        <v>11</v>
      </c>
      <c r="M199">
        <v>15</v>
      </c>
      <c r="N199" s="1">
        <v>0</v>
      </c>
      <c r="O199">
        <v>0</v>
      </c>
    </row>
    <row r="200" spans="2:15">
      <c r="B200" s="2">
        <v>353</v>
      </c>
      <c r="C200">
        <v>13</v>
      </c>
      <c r="E200" s="16">
        <v>7130</v>
      </c>
      <c r="F200" s="4">
        <f t="shared" si="3"/>
        <v>45.71</v>
      </c>
      <c r="G200" s="3">
        <v>46023</v>
      </c>
      <c r="H200">
        <v>0</v>
      </c>
      <c r="M200">
        <v>16</v>
      </c>
      <c r="N200" s="1">
        <v>0</v>
      </c>
      <c r="O200">
        <v>0</v>
      </c>
    </row>
    <row r="201" spans="2:15">
      <c r="B201" s="2">
        <v>353</v>
      </c>
      <c r="C201">
        <v>13</v>
      </c>
      <c r="E201" s="21">
        <v>7404</v>
      </c>
      <c r="F201" s="4">
        <f t="shared" si="3"/>
        <v>47.47</v>
      </c>
      <c r="G201" s="3">
        <v>46023</v>
      </c>
      <c r="H201">
        <v>1</v>
      </c>
      <c r="M201">
        <v>16</v>
      </c>
      <c r="N201" s="1">
        <v>0</v>
      </c>
      <c r="O201">
        <v>0</v>
      </c>
    </row>
    <row r="202" spans="2:15">
      <c r="B202" s="2">
        <v>353</v>
      </c>
      <c r="C202">
        <v>13</v>
      </c>
      <c r="E202" s="21">
        <v>7678</v>
      </c>
      <c r="F202" s="4">
        <f t="shared" si="3"/>
        <v>49.22</v>
      </c>
      <c r="G202" s="3">
        <v>46023</v>
      </c>
      <c r="H202">
        <v>2</v>
      </c>
      <c r="M202">
        <v>16</v>
      </c>
      <c r="N202" s="1">
        <v>0</v>
      </c>
      <c r="O202">
        <v>0</v>
      </c>
    </row>
    <row r="203" spans="2:15">
      <c r="B203" s="2">
        <v>353</v>
      </c>
      <c r="C203">
        <v>13</v>
      </c>
      <c r="E203" s="21">
        <v>7953</v>
      </c>
      <c r="F203" s="4">
        <f t="shared" si="3"/>
        <v>50.989999999999995</v>
      </c>
      <c r="G203" s="3">
        <v>46023</v>
      </c>
      <c r="H203">
        <v>3</v>
      </c>
      <c r="M203">
        <v>16</v>
      </c>
      <c r="N203" s="1">
        <v>0</v>
      </c>
      <c r="O203">
        <v>0</v>
      </c>
    </row>
    <row r="204" spans="2:15">
      <c r="B204" s="2">
        <v>353</v>
      </c>
      <c r="C204">
        <v>13</v>
      </c>
      <c r="E204" s="21">
        <v>8227</v>
      </c>
      <c r="F204" s="4">
        <f t="shared" si="3"/>
        <v>52.739999999999995</v>
      </c>
      <c r="G204" s="3">
        <v>46023</v>
      </c>
      <c r="H204">
        <v>4</v>
      </c>
      <c r="M204">
        <v>16</v>
      </c>
      <c r="N204" s="1">
        <v>0</v>
      </c>
      <c r="O204">
        <v>0</v>
      </c>
    </row>
    <row r="205" spans="2:15">
      <c r="B205" s="2">
        <v>353</v>
      </c>
      <c r="C205">
        <v>13</v>
      </c>
      <c r="E205" s="21">
        <v>8501</v>
      </c>
      <c r="F205" s="4">
        <f t="shared" si="3"/>
        <v>54.5</v>
      </c>
      <c r="G205" s="3">
        <v>46023</v>
      </c>
      <c r="H205">
        <v>5</v>
      </c>
      <c r="M205">
        <v>16</v>
      </c>
      <c r="N205" s="1">
        <v>0</v>
      </c>
      <c r="O205">
        <v>0</v>
      </c>
    </row>
    <row r="206" spans="2:15">
      <c r="B206" s="2">
        <v>353</v>
      </c>
      <c r="C206">
        <v>13</v>
      </c>
      <c r="E206" s="21">
        <v>8776</v>
      </c>
      <c r="F206" s="4">
        <f t="shared" si="3"/>
        <v>56.26</v>
      </c>
      <c r="G206" s="3">
        <v>46023</v>
      </c>
      <c r="H206">
        <v>6</v>
      </c>
      <c r="M206">
        <v>16</v>
      </c>
      <c r="N206" s="1">
        <v>0</v>
      </c>
      <c r="O206">
        <v>0</v>
      </c>
    </row>
    <row r="207" spans="2:15">
      <c r="B207" s="2">
        <v>353</v>
      </c>
      <c r="C207">
        <v>13</v>
      </c>
      <c r="E207" s="21">
        <v>9050</v>
      </c>
      <c r="F207" s="4">
        <f t="shared" si="3"/>
        <v>58.019999999999996</v>
      </c>
      <c r="G207" s="3">
        <v>46023</v>
      </c>
      <c r="H207">
        <v>7</v>
      </c>
      <c r="M207">
        <v>16</v>
      </c>
      <c r="N207" s="1">
        <v>0</v>
      </c>
      <c r="O207">
        <v>0</v>
      </c>
    </row>
    <row r="208" spans="2:15">
      <c r="B208" s="2">
        <v>353</v>
      </c>
      <c r="C208">
        <v>13</v>
      </c>
      <c r="E208" s="21">
        <v>9324</v>
      </c>
      <c r="F208" s="4">
        <f t="shared" si="3"/>
        <v>59.769999999999996</v>
      </c>
      <c r="G208" s="3">
        <v>46023</v>
      </c>
      <c r="H208">
        <v>8</v>
      </c>
      <c r="M208">
        <v>16</v>
      </c>
      <c r="N208" s="1">
        <v>0</v>
      </c>
      <c r="O208">
        <v>0</v>
      </c>
    </row>
    <row r="209" spans="2:15">
      <c r="B209" s="2">
        <v>353</v>
      </c>
      <c r="C209">
        <v>13</v>
      </c>
      <c r="E209" s="21">
        <v>9599</v>
      </c>
      <c r="F209" s="4">
        <f t="shared" si="3"/>
        <v>61.54</v>
      </c>
      <c r="G209" s="3">
        <v>46023</v>
      </c>
      <c r="H209">
        <v>9</v>
      </c>
      <c r="M209">
        <v>16</v>
      </c>
      <c r="N209" s="1">
        <v>0</v>
      </c>
      <c r="O209">
        <v>0</v>
      </c>
    </row>
    <row r="210" spans="2:15">
      <c r="B210" s="2">
        <v>353</v>
      </c>
      <c r="C210">
        <v>13</v>
      </c>
      <c r="E210" s="21">
        <v>9873</v>
      </c>
      <c r="F210" s="4">
        <f t="shared" si="3"/>
        <v>63.29</v>
      </c>
      <c r="G210" s="3">
        <v>46023</v>
      </c>
      <c r="H210">
        <v>10</v>
      </c>
      <c r="M210">
        <v>16</v>
      </c>
      <c r="N210" s="1">
        <v>0</v>
      </c>
      <c r="O210">
        <v>0</v>
      </c>
    </row>
    <row r="211" spans="2:15">
      <c r="B211" s="2">
        <v>353</v>
      </c>
      <c r="C211">
        <v>13</v>
      </c>
      <c r="E211" s="21">
        <v>10147</v>
      </c>
      <c r="F211" s="4">
        <f t="shared" si="3"/>
        <v>65.050000000000011</v>
      </c>
      <c r="G211" s="3">
        <v>46023</v>
      </c>
      <c r="H211">
        <v>11</v>
      </c>
      <c r="M211">
        <v>16</v>
      </c>
      <c r="N211" s="1">
        <v>0</v>
      </c>
      <c r="O211">
        <v>0</v>
      </c>
    </row>
    <row r="212" spans="2:15">
      <c r="B212" s="2">
        <v>353</v>
      </c>
      <c r="C212">
        <v>13</v>
      </c>
      <c r="E212" s="16">
        <v>7857</v>
      </c>
      <c r="F212" s="4">
        <f t="shared" si="3"/>
        <v>50.37</v>
      </c>
      <c r="G212" s="3">
        <v>46023</v>
      </c>
      <c r="H212">
        <v>0</v>
      </c>
      <c r="M212">
        <v>17</v>
      </c>
      <c r="N212" s="1">
        <v>0</v>
      </c>
      <c r="O212">
        <v>0</v>
      </c>
    </row>
    <row r="213" spans="2:15">
      <c r="B213" s="2">
        <v>353</v>
      </c>
      <c r="C213">
        <v>13</v>
      </c>
      <c r="E213" s="21">
        <v>8153</v>
      </c>
      <c r="F213" s="4">
        <f t="shared" si="3"/>
        <v>52.269999999999996</v>
      </c>
      <c r="G213" s="3">
        <v>46023</v>
      </c>
      <c r="H213">
        <v>1</v>
      </c>
      <c r="M213">
        <v>17</v>
      </c>
      <c r="N213" s="1">
        <v>0</v>
      </c>
      <c r="O213">
        <v>0</v>
      </c>
    </row>
    <row r="214" spans="2:15">
      <c r="B214" s="2">
        <v>353</v>
      </c>
      <c r="C214">
        <v>13</v>
      </c>
      <c r="E214" s="21">
        <v>8449</v>
      </c>
      <c r="F214" s="4">
        <f t="shared" si="3"/>
        <v>54.169999999999995</v>
      </c>
      <c r="G214" s="3">
        <v>46023</v>
      </c>
      <c r="H214">
        <v>2</v>
      </c>
      <c r="M214">
        <v>17</v>
      </c>
      <c r="N214" s="1">
        <v>0</v>
      </c>
      <c r="O214">
        <v>0</v>
      </c>
    </row>
    <row r="215" spans="2:15">
      <c r="B215" s="2">
        <v>353</v>
      </c>
      <c r="C215">
        <v>13</v>
      </c>
      <c r="E215" s="21">
        <v>8745</v>
      </c>
      <c r="F215" s="4">
        <f t="shared" si="3"/>
        <v>56.059999999999995</v>
      </c>
      <c r="G215" s="3">
        <v>46023</v>
      </c>
      <c r="H215">
        <v>3</v>
      </c>
      <c r="M215">
        <v>17</v>
      </c>
      <c r="N215" s="1">
        <v>0</v>
      </c>
      <c r="O215">
        <v>0</v>
      </c>
    </row>
    <row r="216" spans="2:15">
      <c r="B216" s="2">
        <v>353</v>
      </c>
      <c r="C216">
        <v>13</v>
      </c>
      <c r="E216" s="21">
        <v>9041</v>
      </c>
      <c r="F216" s="4">
        <f t="shared" si="3"/>
        <v>57.96</v>
      </c>
      <c r="G216" s="3">
        <v>46023</v>
      </c>
      <c r="H216">
        <v>4</v>
      </c>
      <c r="M216">
        <v>17</v>
      </c>
      <c r="N216" s="1">
        <v>0</v>
      </c>
      <c r="O216">
        <v>0</v>
      </c>
    </row>
    <row r="217" spans="2:15">
      <c r="B217" s="2">
        <v>353</v>
      </c>
      <c r="C217">
        <v>13</v>
      </c>
      <c r="E217" s="21">
        <v>9336</v>
      </c>
      <c r="F217" s="4">
        <f t="shared" si="3"/>
        <v>59.85</v>
      </c>
      <c r="G217" s="3">
        <v>46023</v>
      </c>
      <c r="H217">
        <v>5</v>
      </c>
      <c r="M217">
        <v>17</v>
      </c>
      <c r="N217" s="1">
        <v>0</v>
      </c>
      <c r="O217">
        <v>0</v>
      </c>
    </row>
    <row r="218" spans="2:15">
      <c r="B218" s="2">
        <v>353</v>
      </c>
      <c r="C218">
        <v>13</v>
      </c>
      <c r="E218" s="21">
        <v>9632</v>
      </c>
      <c r="F218" s="4">
        <f t="shared" si="3"/>
        <v>61.75</v>
      </c>
      <c r="G218" s="3">
        <v>46023</v>
      </c>
      <c r="H218">
        <v>6</v>
      </c>
      <c r="M218">
        <v>17</v>
      </c>
      <c r="N218" s="1">
        <v>0</v>
      </c>
      <c r="O218">
        <v>0</v>
      </c>
    </row>
    <row r="219" spans="2:15">
      <c r="B219" s="2">
        <v>353</v>
      </c>
      <c r="C219">
        <v>13</v>
      </c>
      <c r="E219" s="21">
        <v>9928</v>
      </c>
      <c r="F219" s="4">
        <f t="shared" si="3"/>
        <v>63.65</v>
      </c>
      <c r="G219" s="3">
        <v>46023</v>
      </c>
      <c r="H219">
        <v>7</v>
      </c>
      <c r="M219">
        <v>17</v>
      </c>
      <c r="N219" s="1">
        <v>0</v>
      </c>
      <c r="O219">
        <v>0</v>
      </c>
    </row>
    <row r="220" spans="2:15">
      <c r="B220" s="2">
        <v>353</v>
      </c>
      <c r="C220">
        <v>13</v>
      </c>
      <c r="E220" s="21">
        <v>10224</v>
      </c>
      <c r="F220" s="4">
        <f t="shared" si="3"/>
        <v>65.540000000000006</v>
      </c>
      <c r="G220" s="3">
        <v>46023</v>
      </c>
      <c r="H220">
        <v>8</v>
      </c>
      <c r="M220">
        <v>17</v>
      </c>
      <c r="N220" s="1">
        <v>0</v>
      </c>
      <c r="O220">
        <v>0</v>
      </c>
    </row>
    <row r="221" spans="2:15">
      <c r="B221" s="2">
        <v>353</v>
      </c>
      <c r="C221">
        <v>13</v>
      </c>
      <c r="E221" s="21">
        <v>10520</v>
      </c>
      <c r="F221" s="4">
        <f t="shared" si="3"/>
        <v>67.440000000000012</v>
      </c>
      <c r="G221" s="3">
        <v>46023</v>
      </c>
      <c r="H221">
        <v>9</v>
      </c>
      <c r="M221">
        <v>17</v>
      </c>
      <c r="N221" s="1">
        <v>0</v>
      </c>
      <c r="O221">
        <v>0</v>
      </c>
    </row>
    <row r="222" spans="2:15">
      <c r="B222" s="2">
        <v>353</v>
      </c>
      <c r="C222">
        <v>13</v>
      </c>
      <c r="E222" s="21">
        <v>10816</v>
      </c>
      <c r="F222" s="4">
        <f t="shared" si="3"/>
        <v>69.34</v>
      </c>
      <c r="G222" s="3">
        <v>46023</v>
      </c>
      <c r="H222">
        <v>10</v>
      </c>
      <c r="M222">
        <v>17</v>
      </c>
      <c r="N222" s="1">
        <v>0</v>
      </c>
      <c r="O222">
        <v>0</v>
      </c>
    </row>
    <row r="223" spans="2:15">
      <c r="B223" s="2">
        <v>353</v>
      </c>
      <c r="C223">
        <v>13</v>
      </c>
      <c r="E223" s="21">
        <v>11112</v>
      </c>
      <c r="F223" s="4">
        <f t="shared" si="3"/>
        <v>71.240000000000009</v>
      </c>
      <c r="G223" s="3">
        <v>46023</v>
      </c>
      <c r="H223">
        <v>11</v>
      </c>
      <c r="M223">
        <v>17</v>
      </c>
      <c r="N223" s="1">
        <v>0</v>
      </c>
      <c r="O223">
        <v>0</v>
      </c>
    </row>
    <row r="224" spans="2:15">
      <c r="B224" s="2">
        <v>353</v>
      </c>
      <c r="C224">
        <v>13</v>
      </c>
      <c r="E224" s="17">
        <v>8676</v>
      </c>
      <c r="F224" s="4">
        <f>ROUNDUP(E224/156,2)</f>
        <v>55.62</v>
      </c>
      <c r="G224" s="3">
        <v>46023</v>
      </c>
      <c r="H224">
        <v>0</v>
      </c>
      <c r="M224">
        <v>18</v>
      </c>
      <c r="N224" s="1">
        <v>0</v>
      </c>
      <c r="O224">
        <v>0</v>
      </c>
    </row>
    <row r="225" spans="2:15">
      <c r="B225" s="2">
        <v>353</v>
      </c>
      <c r="C225">
        <v>13</v>
      </c>
      <c r="E225" s="22">
        <v>8995</v>
      </c>
      <c r="F225" s="4">
        <f>ROUNDUP(E225/156,2)</f>
        <v>57.669999999999995</v>
      </c>
      <c r="G225" s="3">
        <v>46023</v>
      </c>
      <c r="H225">
        <v>1</v>
      </c>
      <c r="M225">
        <v>18</v>
      </c>
      <c r="N225" s="1">
        <v>0</v>
      </c>
      <c r="O225">
        <v>0</v>
      </c>
    </row>
    <row r="226" spans="2:15">
      <c r="B226" s="2">
        <v>353</v>
      </c>
      <c r="C226">
        <v>13</v>
      </c>
      <c r="E226" s="22">
        <v>9312</v>
      </c>
      <c r="F226" s="4">
        <f>ROUNDUP(E226/156,2)</f>
        <v>59.699999999999996</v>
      </c>
      <c r="G226" s="3">
        <v>46023</v>
      </c>
      <c r="H226">
        <v>2</v>
      </c>
      <c r="M226">
        <v>18</v>
      </c>
      <c r="N226" s="1">
        <v>0</v>
      </c>
      <c r="O226">
        <v>0</v>
      </c>
    </row>
    <row r="227" spans="2:15">
      <c r="B227" s="2">
        <v>353</v>
      </c>
      <c r="C227">
        <v>13</v>
      </c>
      <c r="E227" s="22">
        <v>9631</v>
      </c>
      <c r="F227" s="4">
        <f>ROUNDUP(E227/156,2)</f>
        <v>61.739999999999995</v>
      </c>
      <c r="G227" s="3">
        <v>46023</v>
      </c>
      <c r="H227">
        <v>3</v>
      </c>
      <c r="M227">
        <v>18</v>
      </c>
      <c r="N227" s="1">
        <v>0</v>
      </c>
      <c r="O227">
        <v>0</v>
      </c>
    </row>
    <row r="228" spans="2:15">
      <c r="B228" s="2">
        <v>353</v>
      </c>
      <c r="C228">
        <v>13</v>
      </c>
      <c r="E228" s="22">
        <v>9948</v>
      </c>
      <c r="F228" s="4">
        <f>ROUNDUP(E228/156,2)</f>
        <v>63.769999999999996</v>
      </c>
      <c r="G228" s="3">
        <v>46023</v>
      </c>
      <c r="H228">
        <v>4</v>
      </c>
      <c r="M228">
        <v>18</v>
      </c>
      <c r="N228" s="1">
        <v>0</v>
      </c>
      <c r="O228">
        <v>0</v>
      </c>
    </row>
    <row r="229" spans="2:15">
      <c r="B229" s="2">
        <v>353</v>
      </c>
      <c r="C229">
        <v>13</v>
      </c>
      <c r="E229" s="22">
        <v>10267</v>
      </c>
      <c r="F229" s="4">
        <f>ROUNDUP(E229/156,2)</f>
        <v>65.820000000000007</v>
      </c>
      <c r="G229" s="3">
        <v>46023</v>
      </c>
      <c r="H229">
        <v>5</v>
      </c>
      <c r="M229">
        <v>18</v>
      </c>
      <c r="N229" s="1">
        <v>0</v>
      </c>
      <c r="O229">
        <v>0</v>
      </c>
    </row>
    <row r="230" spans="2:15">
      <c r="B230" s="2">
        <v>353</v>
      </c>
      <c r="C230">
        <v>13</v>
      </c>
      <c r="E230" s="22">
        <v>10584</v>
      </c>
      <c r="F230" s="4">
        <f>ROUNDUP(E230/156,2)</f>
        <v>67.850000000000009</v>
      </c>
      <c r="G230" s="3">
        <v>46023</v>
      </c>
      <c r="H230">
        <v>6</v>
      </c>
      <c r="M230">
        <v>18</v>
      </c>
      <c r="N230" s="1">
        <v>0</v>
      </c>
      <c r="O230">
        <v>0</v>
      </c>
    </row>
    <row r="231" spans="2:15">
      <c r="B231" s="2">
        <v>353</v>
      </c>
      <c r="C231">
        <v>13</v>
      </c>
      <c r="E231" s="22">
        <v>10903</v>
      </c>
      <c r="F231" s="4">
        <f>ROUNDUP(E231/156,2)</f>
        <v>69.900000000000006</v>
      </c>
      <c r="G231" s="3">
        <v>46023</v>
      </c>
      <c r="H231">
        <v>7</v>
      </c>
      <c r="M231">
        <v>18</v>
      </c>
      <c r="N231" s="1">
        <v>0</v>
      </c>
      <c r="O231">
        <v>0</v>
      </c>
    </row>
    <row r="232" spans="2:15">
      <c r="B232" s="2">
        <v>353</v>
      </c>
      <c r="C232">
        <v>13</v>
      </c>
      <c r="E232" s="22">
        <v>11220</v>
      </c>
      <c r="F232" s="4">
        <f>ROUNDUP(E232/156,2)</f>
        <v>71.930000000000007</v>
      </c>
      <c r="G232" s="3">
        <v>46023</v>
      </c>
      <c r="H232">
        <v>8</v>
      </c>
      <c r="M232">
        <v>18</v>
      </c>
      <c r="N232" s="1">
        <v>0</v>
      </c>
      <c r="O232">
        <v>0</v>
      </c>
    </row>
    <row r="233" spans="2:15">
      <c r="B233" s="2">
        <v>353</v>
      </c>
      <c r="C233">
        <v>13</v>
      </c>
      <c r="E233" s="22">
        <v>11539</v>
      </c>
      <c r="F233" s="4">
        <f>ROUNDUP(E233/156,2)</f>
        <v>73.97</v>
      </c>
      <c r="G233" s="3">
        <v>46023</v>
      </c>
      <c r="H233">
        <v>9</v>
      </c>
      <c r="M233">
        <v>18</v>
      </c>
      <c r="N233" s="1">
        <v>0</v>
      </c>
      <c r="O233">
        <v>0</v>
      </c>
    </row>
    <row r="234" spans="2:15">
      <c r="B234" s="2">
        <v>353</v>
      </c>
      <c r="C234">
        <v>13</v>
      </c>
      <c r="E234" s="22">
        <v>11856</v>
      </c>
      <c r="F234" s="4">
        <f>ROUNDUP(E234/156,2)</f>
        <v>76</v>
      </c>
      <c r="G234" s="3">
        <v>46023</v>
      </c>
      <c r="H234">
        <v>10</v>
      </c>
      <c r="M234">
        <v>18</v>
      </c>
      <c r="N234" s="1">
        <v>0</v>
      </c>
      <c r="O234">
        <v>0</v>
      </c>
    </row>
    <row r="235" spans="2:15">
      <c r="B235" s="2">
        <v>353</v>
      </c>
      <c r="C235">
        <v>13</v>
      </c>
      <c r="E235" s="22">
        <v>12175</v>
      </c>
      <c r="F235" s="4">
        <f>ROUNDUP(E235/156,2)</f>
        <v>78.050000000000011</v>
      </c>
      <c r="G235" s="3">
        <v>46023</v>
      </c>
      <c r="H235">
        <v>11</v>
      </c>
      <c r="M235">
        <v>18</v>
      </c>
      <c r="N235" s="1">
        <v>0</v>
      </c>
      <c r="O235">
        <v>0</v>
      </c>
    </row>
    <row r="236" spans="2:15">
      <c r="B236" s="2">
        <v>353</v>
      </c>
      <c r="C236">
        <v>13</v>
      </c>
      <c r="E236" s="26">
        <v>2598</v>
      </c>
      <c r="F236" s="4">
        <f>ROUNDUP(E236/156,2)</f>
        <v>16.66</v>
      </c>
      <c r="G236" s="3">
        <v>46023</v>
      </c>
      <c r="H236" t="s">
        <v>24</v>
      </c>
      <c r="M236" t="s">
        <v>25</v>
      </c>
      <c r="N236" s="1">
        <v>0</v>
      </c>
      <c r="O236">
        <v>0</v>
      </c>
    </row>
    <row r="237" spans="2:15">
      <c r="B237" s="2">
        <v>353</v>
      </c>
      <c r="C237">
        <v>13</v>
      </c>
      <c r="E237" s="62">
        <v>2695</v>
      </c>
      <c r="F237" s="4">
        <f t="shared" si="3"/>
        <v>17.28</v>
      </c>
      <c r="G237" s="3">
        <v>46023</v>
      </c>
      <c r="H237">
        <v>0</v>
      </c>
      <c r="M237" t="s">
        <v>25</v>
      </c>
      <c r="N237" s="1">
        <v>0</v>
      </c>
      <c r="O237">
        <v>0</v>
      </c>
    </row>
    <row r="238" spans="2:15">
      <c r="B238" s="2">
        <v>353</v>
      </c>
      <c r="C238">
        <v>13</v>
      </c>
      <c r="E238" s="62">
        <v>2758</v>
      </c>
      <c r="F238" s="4">
        <f t="shared" si="3"/>
        <v>17.680000000000003</v>
      </c>
      <c r="G238" s="3">
        <v>46023</v>
      </c>
      <c r="H238">
        <v>1</v>
      </c>
      <c r="M238" t="s">
        <v>25</v>
      </c>
      <c r="N238" s="1">
        <v>0</v>
      </c>
      <c r="O238">
        <v>0</v>
      </c>
    </row>
    <row r="239" spans="2:15">
      <c r="B239" s="2">
        <v>353</v>
      </c>
      <c r="C239">
        <v>13</v>
      </c>
      <c r="E239" s="62">
        <v>2831</v>
      </c>
      <c r="F239" s="4">
        <f t="shared" si="3"/>
        <v>18.150000000000002</v>
      </c>
      <c r="G239" s="3">
        <v>46023</v>
      </c>
      <c r="H239">
        <v>2</v>
      </c>
      <c r="M239" t="s">
        <v>25</v>
      </c>
      <c r="N239" s="1">
        <v>0</v>
      </c>
      <c r="O239">
        <v>0</v>
      </c>
    </row>
    <row r="240" spans="2:15">
      <c r="B240" s="2">
        <v>353</v>
      </c>
      <c r="C240">
        <v>13</v>
      </c>
      <c r="E240" s="62">
        <v>2918</v>
      </c>
      <c r="F240" s="4">
        <f t="shared" si="3"/>
        <v>18.71</v>
      </c>
      <c r="G240" s="3">
        <v>46023</v>
      </c>
      <c r="H240">
        <v>3</v>
      </c>
      <c r="M240" t="s">
        <v>25</v>
      </c>
      <c r="N240" s="1">
        <v>0</v>
      </c>
      <c r="O240">
        <v>0</v>
      </c>
    </row>
    <row r="241" spans="2:15">
      <c r="B241" s="2">
        <v>353</v>
      </c>
      <c r="C241">
        <v>13</v>
      </c>
      <c r="E241" s="62">
        <v>3003</v>
      </c>
      <c r="F241" s="4">
        <f t="shared" si="3"/>
        <v>19.25</v>
      </c>
      <c r="G241" s="3">
        <v>46023</v>
      </c>
      <c r="H241">
        <v>4</v>
      </c>
      <c r="M241" t="s">
        <v>25</v>
      </c>
      <c r="N241" s="1">
        <v>0</v>
      </c>
      <c r="O241">
        <v>0</v>
      </c>
    </row>
    <row r="242" spans="2:15">
      <c r="B242" s="2">
        <v>353</v>
      </c>
      <c r="C242">
        <v>13</v>
      </c>
      <c r="E242" s="62">
        <v>3084</v>
      </c>
      <c r="F242" s="4">
        <f t="shared" si="3"/>
        <v>19.770000000000003</v>
      </c>
      <c r="G242" s="3">
        <v>46023</v>
      </c>
      <c r="H242">
        <v>5</v>
      </c>
      <c r="M242" t="s">
        <v>25</v>
      </c>
      <c r="N242" s="1">
        <v>0</v>
      </c>
      <c r="O242">
        <v>0</v>
      </c>
    </row>
    <row r="243" spans="2:15">
      <c r="B243" s="2">
        <v>353</v>
      </c>
      <c r="C243">
        <v>13</v>
      </c>
      <c r="E243" s="62">
        <v>3166</v>
      </c>
      <c r="F243" s="4">
        <f t="shared" si="3"/>
        <v>20.3</v>
      </c>
      <c r="G243" s="3">
        <v>46023</v>
      </c>
      <c r="H243">
        <v>6</v>
      </c>
      <c r="M243" t="s">
        <v>25</v>
      </c>
      <c r="N243" s="1">
        <v>0</v>
      </c>
      <c r="O243">
        <v>0</v>
      </c>
    </row>
    <row r="244" spans="2:15">
      <c r="B244" s="2">
        <v>353</v>
      </c>
      <c r="C244">
        <v>13</v>
      </c>
      <c r="E244" s="62">
        <v>3244</v>
      </c>
      <c r="F244" s="4">
        <f t="shared" si="3"/>
        <v>20.8</v>
      </c>
      <c r="G244" s="3">
        <v>46023</v>
      </c>
      <c r="H244">
        <v>7</v>
      </c>
      <c r="M244" t="s">
        <v>25</v>
      </c>
      <c r="N244" s="1">
        <v>0</v>
      </c>
      <c r="O244">
        <v>0</v>
      </c>
    </row>
    <row r="245" spans="2:15">
      <c r="B245" s="2">
        <v>353</v>
      </c>
      <c r="C245">
        <v>13</v>
      </c>
      <c r="E245" s="62">
        <v>3322</v>
      </c>
      <c r="F245" s="4">
        <f t="shared" si="3"/>
        <v>21.3</v>
      </c>
      <c r="G245" s="3">
        <v>46023</v>
      </c>
      <c r="H245">
        <v>8</v>
      </c>
      <c r="M245" t="s">
        <v>25</v>
      </c>
      <c r="N245" s="1">
        <v>0</v>
      </c>
      <c r="O245">
        <v>0</v>
      </c>
    </row>
    <row r="246" spans="2:15">
      <c r="B246" s="2">
        <v>353</v>
      </c>
      <c r="C246">
        <v>13</v>
      </c>
      <c r="E246" s="62">
        <v>3399</v>
      </c>
      <c r="F246" s="4">
        <f t="shared" si="3"/>
        <v>21.790000000000003</v>
      </c>
      <c r="G246" s="3">
        <v>46023</v>
      </c>
      <c r="H246">
        <v>9</v>
      </c>
      <c r="M246" t="s">
        <v>25</v>
      </c>
      <c r="N246" s="1">
        <v>0</v>
      </c>
      <c r="O246">
        <v>0</v>
      </c>
    </row>
    <row r="247" spans="2:15">
      <c r="B247" s="2">
        <v>353</v>
      </c>
      <c r="C247">
        <v>13</v>
      </c>
      <c r="E247" s="62">
        <v>3475</v>
      </c>
      <c r="F247" s="4">
        <f t="shared" si="3"/>
        <v>22.28</v>
      </c>
      <c r="G247" s="3">
        <v>46023</v>
      </c>
      <c r="H247">
        <v>10</v>
      </c>
      <c r="M247" t="s">
        <v>25</v>
      </c>
      <c r="N247" s="1">
        <v>0</v>
      </c>
      <c r="O247">
        <v>0</v>
      </c>
    </row>
    <row r="248" spans="2:15">
      <c r="B248" s="2">
        <v>353</v>
      </c>
      <c r="C248">
        <v>13</v>
      </c>
      <c r="E248" s="63">
        <v>3633</v>
      </c>
      <c r="F248" s="4">
        <f t="shared" si="3"/>
        <v>23.290000000000003</v>
      </c>
      <c r="G248" s="3">
        <v>46023</v>
      </c>
      <c r="H248" t="s">
        <v>26</v>
      </c>
      <c r="M248" t="s">
        <v>25</v>
      </c>
      <c r="N248" s="1">
        <v>0</v>
      </c>
      <c r="O248">
        <v>0</v>
      </c>
    </row>
    <row r="249" spans="2:15">
      <c r="B249" s="2">
        <v>353</v>
      </c>
      <c r="C249">
        <v>13</v>
      </c>
      <c r="E249" s="62">
        <v>2758</v>
      </c>
      <c r="F249" s="4">
        <f t="shared" si="3"/>
        <v>17.680000000000003</v>
      </c>
      <c r="G249" s="3">
        <v>46023</v>
      </c>
      <c r="H249" t="s">
        <v>24</v>
      </c>
      <c r="M249" t="s">
        <v>27</v>
      </c>
      <c r="N249" s="1">
        <v>0</v>
      </c>
      <c r="O249">
        <v>0</v>
      </c>
    </row>
    <row r="250" spans="2:15">
      <c r="B250" s="2">
        <v>353</v>
      </c>
      <c r="C250">
        <v>13</v>
      </c>
      <c r="E250" s="62">
        <v>2918</v>
      </c>
      <c r="F250" s="4">
        <f t="shared" si="3"/>
        <v>18.71</v>
      </c>
      <c r="G250" s="3">
        <v>46023</v>
      </c>
      <c r="H250" t="s">
        <v>28</v>
      </c>
      <c r="M250" t="s">
        <v>27</v>
      </c>
      <c r="N250" s="1">
        <v>0</v>
      </c>
      <c r="O250">
        <v>0</v>
      </c>
    </row>
    <row r="251" spans="2:15">
      <c r="B251" s="2">
        <v>353</v>
      </c>
      <c r="C251">
        <v>13</v>
      </c>
      <c r="E251" s="62">
        <v>3084</v>
      </c>
      <c r="F251" s="4">
        <f t="shared" si="3"/>
        <v>19.770000000000003</v>
      </c>
      <c r="G251" s="3">
        <v>46023</v>
      </c>
      <c r="H251" t="s">
        <v>29</v>
      </c>
      <c r="M251" t="s">
        <v>27</v>
      </c>
      <c r="N251" s="1">
        <v>0</v>
      </c>
      <c r="O251">
        <v>0</v>
      </c>
    </row>
    <row r="252" spans="2:15">
      <c r="B252" s="2">
        <v>353</v>
      </c>
      <c r="C252">
        <v>13</v>
      </c>
      <c r="E252" s="62">
        <v>3244</v>
      </c>
      <c r="F252" s="4">
        <f t="shared" si="3"/>
        <v>20.8</v>
      </c>
      <c r="G252" s="3">
        <v>46023</v>
      </c>
      <c r="H252">
        <v>0</v>
      </c>
      <c r="M252" t="s">
        <v>27</v>
      </c>
      <c r="N252" s="1">
        <v>0</v>
      </c>
      <c r="O252">
        <v>0</v>
      </c>
    </row>
    <row r="253" spans="2:15">
      <c r="B253" s="2">
        <v>353</v>
      </c>
      <c r="C253">
        <v>13</v>
      </c>
      <c r="E253" s="62">
        <v>3322</v>
      </c>
      <c r="F253" s="4">
        <f t="shared" si="3"/>
        <v>21.3</v>
      </c>
      <c r="G253" s="3">
        <v>46023</v>
      </c>
      <c r="H253">
        <v>1</v>
      </c>
      <c r="M253" t="s">
        <v>27</v>
      </c>
      <c r="N253" s="1">
        <v>0</v>
      </c>
      <c r="O253">
        <v>0</v>
      </c>
    </row>
    <row r="254" spans="2:15">
      <c r="B254" s="2">
        <v>353</v>
      </c>
      <c r="C254">
        <v>13</v>
      </c>
      <c r="E254" s="62">
        <v>3399</v>
      </c>
      <c r="F254" s="4">
        <f t="shared" si="3"/>
        <v>21.790000000000003</v>
      </c>
      <c r="G254" s="3">
        <v>46023</v>
      </c>
      <c r="H254">
        <v>2</v>
      </c>
      <c r="M254" t="s">
        <v>27</v>
      </c>
      <c r="N254" s="1">
        <v>0</v>
      </c>
      <c r="O254">
        <v>0</v>
      </c>
    </row>
    <row r="255" spans="2:15">
      <c r="B255" s="2">
        <v>353</v>
      </c>
      <c r="C255">
        <v>13</v>
      </c>
      <c r="E255" s="62">
        <v>3475</v>
      </c>
      <c r="F255" s="4">
        <f t="shared" si="3"/>
        <v>22.28</v>
      </c>
      <c r="G255" s="3">
        <v>46023</v>
      </c>
      <c r="H255">
        <v>3</v>
      </c>
      <c r="M255" t="s">
        <v>27</v>
      </c>
      <c r="N255" s="1">
        <v>0</v>
      </c>
      <c r="O255">
        <v>0</v>
      </c>
    </row>
    <row r="256" spans="2:15">
      <c r="B256" s="2">
        <v>353</v>
      </c>
      <c r="C256">
        <v>13</v>
      </c>
      <c r="E256" s="62">
        <v>3555</v>
      </c>
      <c r="F256" s="4">
        <f t="shared" si="3"/>
        <v>22.790000000000003</v>
      </c>
      <c r="G256" s="3">
        <v>46023</v>
      </c>
      <c r="H256">
        <v>4</v>
      </c>
      <c r="M256" t="s">
        <v>27</v>
      </c>
      <c r="N256" s="1">
        <v>0</v>
      </c>
      <c r="O256">
        <v>0</v>
      </c>
    </row>
    <row r="257" spans="2:15">
      <c r="B257" s="2">
        <v>353</v>
      </c>
      <c r="C257">
        <v>13</v>
      </c>
      <c r="E257" s="62">
        <v>3633</v>
      </c>
      <c r="F257" s="4">
        <f t="shared" si="3"/>
        <v>23.290000000000003</v>
      </c>
      <c r="G257" s="3">
        <v>46023</v>
      </c>
      <c r="H257">
        <v>5</v>
      </c>
      <c r="M257" t="s">
        <v>27</v>
      </c>
      <c r="N257" s="1">
        <v>0</v>
      </c>
      <c r="O257">
        <v>0</v>
      </c>
    </row>
    <row r="258" spans="2:15">
      <c r="B258" s="2">
        <v>353</v>
      </c>
      <c r="C258">
        <v>13</v>
      </c>
      <c r="E258" s="62">
        <v>3707</v>
      </c>
      <c r="F258" s="4">
        <f t="shared" si="3"/>
        <v>23.770000000000003</v>
      </c>
      <c r="G258" s="3">
        <v>46023</v>
      </c>
      <c r="H258">
        <v>6</v>
      </c>
      <c r="M258" t="s">
        <v>27</v>
      </c>
      <c r="N258" s="1">
        <v>0</v>
      </c>
      <c r="O258">
        <v>0</v>
      </c>
    </row>
    <row r="259" spans="2:15">
      <c r="B259" s="2">
        <v>353</v>
      </c>
      <c r="C259">
        <v>13</v>
      </c>
      <c r="E259" s="62">
        <v>3788</v>
      </c>
      <c r="F259" s="4">
        <f t="shared" ref="F259:F292" si="4">ROUNDUP(E259/156,2)</f>
        <v>24.290000000000003</v>
      </c>
      <c r="G259" s="3">
        <v>46023</v>
      </c>
      <c r="H259">
        <v>7</v>
      </c>
      <c r="M259" t="s">
        <v>27</v>
      </c>
      <c r="N259" s="1">
        <v>0</v>
      </c>
      <c r="O259">
        <v>0</v>
      </c>
    </row>
    <row r="260" spans="2:15">
      <c r="B260" s="2">
        <v>353</v>
      </c>
      <c r="C260">
        <v>13</v>
      </c>
      <c r="E260" s="62">
        <v>3870</v>
      </c>
      <c r="F260" s="4">
        <f t="shared" si="4"/>
        <v>24.810000000000002</v>
      </c>
      <c r="G260" s="3">
        <v>46023</v>
      </c>
      <c r="H260">
        <v>8</v>
      </c>
      <c r="M260" t="s">
        <v>27</v>
      </c>
      <c r="N260" s="1">
        <v>0</v>
      </c>
      <c r="O260">
        <v>0</v>
      </c>
    </row>
    <row r="261" spans="2:15">
      <c r="B261" s="2">
        <v>353</v>
      </c>
      <c r="C261">
        <v>13</v>
      </c>
      <c r="E261" s="62">
        <v>3955</v>
      </c>
      <c r="F261" s="4">
        <f t="shared" si="4"/>
        <v>25.360000000000003</v>
      </c>
      <c r="G261" s="3">
        <v>46023</v>
      </c>
      <c r="H261">
        <v>9</v>
      </c>
      <c r="M261" t="s">
        <v>27</v>
      </c>
      <c r="N261" s="1">
        <v>0</v>
      </c>
      <c r="O261">
        <v>0</v>
      </c>
    </row>
    <row r="262" spans="2:15">
      <c r="B262" s="2">
        <v>353</v>
      </c>
      <c r="C262">
        <v>13</v>
      </c>
      <c r="E262" s="62">
        <v>4051</v>
      </c>
      <c r="F262" s="4">
        <f t="shared" si="4"/>
        <v>25.970000000000002</v>
      </c>
      <c r="G262" s="3">
        <v>46023</v>
      </c>
      <c r="H262">
        <v>10</v>
      </c>
      <c r="M262" t="s">
        <v>27</v>
      </c>
      <c r="N262" s="1">
        <v>0</v>
      </c>
      <c r="O262">
        <v>0</v>
      </c>
    </row>
    <row r="263" spans="2:15">
      <c r="B263" s="2">
        <v>353</v>
      </c>
      <c r="C263">
        <v>13</v>
      </c>
      <c r="E263" s="62">
        <v>4140</v>
      </c>
      <c r="F263" s="4">
        <f t="shared" si="4"/>
        <v>26.540000000000003</v>
      </c>
      <c r="G263" s="3">
        <v>46023</v>
      </c>
      <c r="H263">
        <v>11</v>
      </c>
      <c r="M263" t="s">
        <v>27</v>
      </c>
      <c r="N263" s="1">
        <v>0</v>
      </c>
      <c r="O263">
        <v>0</v>
      </c>
    </row>
    <row r="264" spans="2:15">
      <c r="B264" s="2">
        <v>353</v>
      </c>
      <c r="C264">
        <v>13</v>
      </c>
      <c r="E264" s="62">
        <v>4216</v>
      </c>
      <c r="F264" s="4">
        <f t="shared" si="4"/>
        <v>27.03</v>
      </c>
      <c r="G264" s="3">
        <v>46023</v>
      </c>
      <c r="H264">
        <v>12</v>
      </c>
      <c r="M264" t="s">
        <v>27</v>
      </c>
      <c r="N264" s="1">
        <v>0</v>
      </c>
      <c r="O264">
        <v>0</v>
      </c>
    </row>
    <row r="265" spans="2:15">
      <c r="B265" s="2">
        <v>353</v>
      </c>
      <c r="C265">
        <v>13</v>
      </c>
      <c r="E265" s="62">
        <v>4300</v>
      </c>
      <c r="F265" s="4">
        <f t="shared" si="4"/>
        <v>27.57</v>
      </c>
      <c r="G265" s="3">
        <v>46023</v>
      </c>
      <c r="H265">
        <v>13</v>
      </c>
      <c r="M265" t="s">
        <v>27</v>
      </c>
      <c r="N265" s="1">
        <v>0</v>
      </c>
      <c r="O265">
        <v>0</v>
      </c>
    </row>
    <row r="266" spans="2:15">
      <c r="B266" s="2">
        <v>353</v>
      </c>
      <c r="C266">
        <v>13</v>
      </c>
      <c r="E266" s="62">
        <v>4385</v>
      </c>
      <c r="F266" s="4">
        <f t="shared" si="4"/>
        <v>28.110000000000003</v>
      </c>
      <c r="G266" s="3">
        <v>46023</v>
      </c>
      <c r="H266">
        <v>14</v>
      </c>
      <c r="M266" t="s">
        <v>27</v>
      </c>
      <c r="N266" s="1">
        <v>0</v>
      </c>
      <c r="O266">
        <v>0</v>
      </c>
    </row>
    <row r="267" spans="2:15">
      <c r="B267" s="2">
        <v>353</v>
      </c>
      <c r="C267">
        <v>13</v>
      </c>
      <c r="E267" s="62">
        <v>4466</v>
      </c>
      <c r="F267" s="4">
        <f t="shared" si="4"/>
        <v>28.630000000000003</v>
      </c>
      <c r="G267" s="3">
        <v>46023</v>
      </c>
      <c r="H267">
        <v>15</v>
      </c>
      <c r="M267" t="s">
        <v>27</v>
      </c>
      <c r="N267" s="1">
        <v>0</v>
      </c>
      <c r="O267">
        <v>0</v>
      </c>
    </row>
    <row r="268" spans="2:15">
      <c r="B268" s="2">
        <v>353</v>
      </c>
      <c r="C268">
        <v>13</v>
      </c>
      <c r="E268" s="62">
        <v>4688</v>
      </c>
      <c r="F268" s="4">
        <f t="shared" si="4"/>
        <v>30.060000000000002</v>
      </c>
      <c r="G268" s="3">
        <v>46023</v>
      </c>
      <c r="H268" t="s">
        <v>26</v>
      </c>
      <c r="M268" t="s">
        <v>27</v>
      </c>
      <c r="N268" s="1">
        <v>0</v>
      </c>
      <c r="O268">
        <v>0</v>
      </c>
    </row>
    <row r="269" spans="2:15">
      <c r="B269" s="2">
        <v>353</v>
      </c>
      <c r="C269">
        <v>13</v>
      </c>
      <c r="E269" s="62">
        <v>4931</v>
      </c>
      <c r="F269" s="4">
        <f t="shared" si="4"/>
        <v>31.610000000000003</v>
      </c>
      <c r="G269" s="3">
        <v>46023</v>
      </c>
      <c r="H269" t="s">
        <v>30</v>
      </c>
      <c r="M269" t="s">
        <v>27</v>
      </c>
      <c r="N269" s="1">
        <v>0</v>
      </c>
      <c r="O269">
        <v>0</v>
      </c>
    </row>
    <row r="270" spans="2:15">
      <c r="B270" s="2">
        <v>353</v>
      </c>
      <c r="C270">
        <v>13</v>
      </c>
      <c r="E270" s="62">
        <v>5079</v>
      </c>
      <c r="F270" s="4">
        <f t="shared" si="4"/>
        <v>32.559999999999995</v>
      </c>
      <c r="G270" s="3">
        <v>46023</v>
      </c>
      <c r="H270" t="s">
        <v>31</v>
      </c>
      <c r="M270" t="s">
        <v>27</v>
      </c>
      <c r="N270" s="1">
        <v>0</v>
      </c>
      <c r="O270">
        <v>0</v>
      </c>
    </row>
    <row r="271" spans="2:15">
      <c r="B271" s="2">
        <v>353</v>
      </c>
      <c r="C271">
        <v>13</v>
      </c>
      <c r="E271" s="62">
        <v>3084</v>
      </c>
      <c r="F271" s="4">
        <f t="shared" si="4"/>
        <v>19.770000000000003</v>
      </c>
      <c r="G271" s="3">
        <v>46023</v>
      </c>
      <c r="H271" t="s">
        <v>24</v>
      </c>
      <c r="M271" t="s">
        <v>32</v>
      </c>
      <c r="N271" s="1">
        <v>0</v>
      </c>
      <c r="O271">
        <v>0</v>
      </c>
    </row>
    <row r="272" spans="2:15">
      <c r="B272" s="2">
        <v>353</v>
      </c>
      <c r="C272">
        <v>13</v>
      </c>
      <c r="E272" s="62">
        <v>3244</v>
      </c>
      <c r="F272" s="4">
        <f t="shared" si="4"/>
        <v>20.8</v>
      </c>
      <c r="G272" s="3">
        <v>46023</v>
      </c>
      <c r="H272" t="s">
        <v>28</v>
      </c>
      <c r="M272" t="s">
        <v>32</v>
      </c>
      <c r="N272" s="1">
        <v>0</v>
      </c>
      <c r="O272">
        <v>0</v>
      </c>
    </row>
    <row r="273" spans="2:15">
      <c r="B273" s="2">
        <v>353</v>
      </c>
      <c r="C273">
        <v>13</v>
      </c>
      <c r="E273" s="62">
        <v>3399</v>
      </c>
      <c r="F273" s="4">
        <f t="shared" si="4"/>
        <v>21.790000000000003</v>
      </c>
      <c r="G273" s="3">
        <v>46023</v>
      </c>
      <c r="H273" t="s">
        <v>29</v>
      </c>
      <c r="M273" t="s">
        <v>32</v>
      </c>
      <c r="N273" s="1">
        <v>0</v>
      </c>
      <c r="O273">
        <v>0</v>
      </c>
    </row>
    <row r="274" spans="2:15">
      <c r="B274" s="2">
        <v>353</v>
      </c>
      <c r="C274">
        <v>13</v>
      </c>
      <c r="E274" s="62">
        <v>3555</v>
      </c>
      <c r="F274" s="4">
        <f t="shared" si="4"/>
        <v>22.790000000000003</v>
      </c>
      <c r="G274" s="3">
        <v>46023</v>
      </c>
      <c r="H274">
        <v>0</v>
      </c>
      <c r="M274" t="s">
        <v>32</v>
      </c>
      <c r="N274" s="1">
        <v>0</v>
      </c>
      <c r="O274">
        <v>0</v>
      </c>
    </row>
    <row r="275" spans="2:15">
      <c r="B275" s="2">
        <v>353</v>
      </c>
      <c r="C275">
        <v>13</v>
      </c>
      <c r="E275" s="62">
        <v>3633</v>
      </c>
      <c r="F275" s="4">
        <f t="shared" si="4"/>
        <v>23.290000000000003</v>
      </c>
      <c r="G275" s="3">
        <v>46023</v>
      </c>
      <c r="H275">
        <v>1</v>
      </c>
      <c r="M275" t="s">
        <v>32</v>
      </c>
      <c r="N275" s="1">
        <v>0</v>
      </c>
      <c r="O275">
        <v>0</v>
      </c>
    </row>
    <row r="276" spans="2:15">
      <c r="B276" s="2">
        <v>353</v>
      </c>
      <c r="C276">
        <v>13</v>
      </c>
      <c r="E276" s="62">
        <v>3707</v>
      </c>
      <c r="F276" s="4">
        <f t="shared" si="4"/>
        <v>23.770000000000003</v>
      </c>
      <c r="G276" s="3">
        <v>46023</v>
      </c>
      <c r="H276">
        <v>2</v>
      </c>
      <c r="M276" t="s">
        <v>32</v>
      </c>
      <c r="N276" s="1">
        <v>0</v>
      </c>
      <c r="O276">
        <v>0</v>
      </c>
    </row>
    <row r="277" spans="2:15">
      <c r="B277" s="2">
        <v>353</v>
      </c>
      <c r="C277">
        <v>13</v>
      </c>
      <c r="E277" s="62">
        <v>3788</v>
      </c>
      <c r="F277" s="4">
        <f t="shared" si="4"/>
        <v>24.290000000000003</v>
      </c>
      <c r="G277" s="3">
        <v>46023</v>
      </c>
      <c r="H277">
        <v>3</v>
      </c>
      <c r="M277" t="s">
        <v>32</v>
      </c>
      <c r="N277" s="1">
        <v>0</v>
      </c>
      <c r="O277">
        <v>0</v>
      </c>
    </row>
    <row r="278" spans="2:15">
      <c r="B278" s="2">
        <v>353</v>
      </c>
      <c r="C278">
        <v>13</v>
      </c>
      <c r="E278" s="62">
        <v>3870</v>
      </c>
      <c r="F278" s="4">
        <f t="shared" si="4"/>
        <v>24.810000000000002</v>
      </c>
      <c r="G278" s="3">
        <v>46023</v>
      </c>
      <c r="H278">
        <v>4</v>
      </c>
      <c r="M278" t="s">
        <v>32</v>
      </c>
      <c r="N278" s="1">
        <v>0</v>
      </c>
      <c r="O278">
        <v>0</v>
      </c>
    </row>
    <row r="279" spans="2:15">
      <c r="B279" s="2">
        <v>353</v>
      </c>
      <c r="C279">
        <v>13</v>
      </c>
      <c r="E279" s="62">
        <v>3955</v>
      </c>
      <c r="F279" s="4">
        <f t="shared" si="4"/>
        <v>25.360000000000003</v>
      </c>
      <c r="G279" s="3">
        <v>46023</v>
      </c>
      <c r="H279">
        <v>5</v>
      </c>
      <c r="M279" t="s">
        <v>32</v>
      </c>
      <c r="N279" s="1">
        <v>0</v>
      </c>
      <c r="O279">
        <v>0</v>
      </c>
    </row>
    <row r="280" spans="2:15">
      <c r="B280" s="2">
        <v>353</v>
      </c>
      <c r="C280">
        <v>13</v>
      </c>
      <c r="E280" s="62">
        <v>4051</v>
      </c>
      <c r="F280" s="4">
        <f t="shared" si="4"/>
        <v>25.970000000000002</v>
      </c>
      <c r="G280" s="3">
        <v>46023</v>
      </c>
      <c r="H280">
        <v>6</v>
      </c>
      <c r="M280" t="s">
        <v>32</v>
      </c>
      <c r="N280" s="1">
        <v>0</v>
      </c>
      <c r="O280">
        <v>0</v>
      </c>
    </row>
    <row r="281" spans="2:15">
      <c r="B281" s="2">
        <v>353</v>
      </c>
      <c r="C281">
        <v>13</v>
      </c>
      <c r="E281" s="62">
        <v>4140</v>
      </c>
      <c r="F281" s="4">
        <f t="shared" si="4"/>
        <v>26.540000000000003</v>
      </c>
      <c r="G281" s="3">
        <v>46023</v>
      </c>
      <c r="H281">
        <v>7</v>
      </c>
      <c r="M281" t="s">
        <v>32</v>
      </c>
      <c r="N281" s="1">
        <v>0</v>
      </c>
      <c r="O281">
        <v>0</v>
      </c>
    </row>
    <row r="282" spans="2:15">
      <c r="B282" s="2">
        <v>353</v>
      </c>
      <c r="C282">
        <v>13</v>
      </c>
      <c r="E282" s="62">
        <v>4216</v>
      </c>
      <c r="F282" s="4">
        <f t="shared" si="4"/>
        <v>27.03</v>
      </c>
      <c r="G282" s="3">
        <v>46023</v>
      </c>
      <c r="H282">
        <v>8</v>
      </c>
      <c r="M282" t="s">
        <v>32</v>
      </c>
      <c r="N282" s="1">
        <v>0</v>
      </c>
      <c r="O282">
        <v>0</v>
      </c>
    </row>
    <row r="283" spans="2:15">
      <c r="B283" s="2">
        <v>353</v>
      </c>
      <c r="C283">
        <v>13</v>
      </c>
      <c r="E283" s="62">
        <v>4300</v>
      </c>
      <c r="F283" s="4">
        <f t="shared" si="4"/>
        <v>27.57</v>
      </c>
      <c r="G283" s="3">
        <v>46023</v>
      </c>
      <c r="H283">
        <v>9</v>
      </c>
      <c r="M283" t="s">
        <v>32</v>
      </c>
      <c r="N283" s="1">
        <v>0</v>
      </c>
      <c r="O283">
        <v>0</v>
      </c>
    </row>
    <row r="284" spans="2:15">
      <c r="B284" s="2">
        <v>353</v>
      </c>
      <c r="C284">
        <v>13</v>
      </c>
      <c r="E284" s="62">
        <v>4385</v>
      </c>
      <c r="F284" s="4">
        <f t="shared" si="4"/>
        <v>28.110000000000003</v>
      </c>
      <c r="G284" s="3">
        <v>46023</v>
      </c>
      <c r="H284">
        <v>10</v>
      </c>
      <c r="M284" t="s">
        <v>32</v>
      </c>
      <c r="N284" s="1">
        <v>0</v>
      </c>
      <c r="O284">
        <v>0</v>
      </c>
    </row>
    <row r="285" spans="2:15">
      <c r="B285" s="2">
        <v>353</v>
      </c>
      <c r="C285">
        <v>13</v>
      </c>
      <c r="E285" s="62">
        <v>4466</v>
      </c>
      <c r="F285" s="4">
        <f t="shared" si="4"/>
        <v>28.630000000000003</v>
      </c>
      <c r="G285" s="3">
        <v>46023</v>
      </c>
      <c r="H285">
        <v>11</v>
      </c>
      <c r="M285" t="s">
        <v>32</v>
      </c>
      <c r="N285" s="1">
        <v>0</v>
      </c>
      <c r="O285">
        <v>0</v>
      </c>
    </row>
    <row r="286" spans="2:15">
      <c r="B286" s="2">
        <v>353</v>
      </c>
      <c r="C286">
        <v>13</v>
      </c>
      <c r="E286" s="62">
        <v>4539</v>
      </c>
      <c r="F286" s="4">
        <f t="shared" si="4"/>
        <v>29.1</v>
      </c>
      <c r="G286" s="3">
        <v>46023</v>
      </c>
      <c r="H286">
        <v>12</v>
      </c>
      <c r="M286" t="s">
        <v>32</v>
      </c>
      <c r="N286" s="1">
        <v>0</v>
      </c>
      <c r="O286">
        <v>0</v>
      </c>
    </row>
    <row r="287" spans="2:15">
      <c r="B287" s="2">
        <v>353</v>
      </c>
      <c r="C287">
        <v>13</v>
      </c>
      <c r="E287" s="62">
        <v>4613</v>
      </c>
      <c r="F287" s="4">
        <f t="shared" si="4"/>
        <v>29.580000000000002</v>
      </c>
      <c r="G287" s="3">
        <v>46023</v>
      </c>
      <c r="H287">
        <v>13</v>
      </c>
      <c r="M287" t="s">
        <v>32</v>
      </c>
      <c r="N287" s="1">
        <v>0</v>
      </c>
      <c r="O287">
        <v>0</v>
      </c>
    </row>
    <row r="288" spans="2:15">
      <c r="B288" s="2">
        <v>353</v>
      </c>
      <c r="C288">
        <v>13</v>
      </c>
      <c r="E288" s="62">
        <v>4688</v>
      </c>
      <c r="F288" s="4">
        <f t="shared" si="4"/>
        <v>30.060000000000002</v>
      </c>
      <c r="G288" s="3">
        <v>46023</v>
      </c>
      <c r="H288">
        <v>14</v>
      </c>
      <c r="M288" t="s">
        <v>32</v>
      </c>
      <c r="N288" s="1">
        <v>0</v>
      </c>
      <c r="O288">
        <v>0</v>
      </c>
    </row>
    <row r="289" spans="2:15">
      <c r="B289" s="2">
        <v>353</v>
      </c>
      <c r="C289">
        <v>13</v>
      </c>
      <c r="E289" s="62">
        <v>4764</v>
      </c>
      <c r="F289" s="4">
        <f t="shared" si="4"/>
        <v>30.540000000000003</v>
      </c>
      <c r="G289" s="3">
        <v>46023</v>
      </c>
      <c r="H289">
        <v>15</v>
      </c>
      <c r="M289" t="s">
        <v>32</v>
      </c>
      <c r="N289" s="1">
        <v>0</v>
      </c>
      <c r="O289">
        <v>0</v>
      </c>
    </row>
    <row r="290" spans="2:15">
      <c r="B290" s="2">
        <v>353</v>
      </c>
      <c r="C290">
        <v>13</v>
      </c>
      <c r="E290" s="62">
        <v>4931</v>
      </c>
      <c r="F290" s="4">
        <f t="shared" si="4"/>
        <v>31.610000000000003</v>
      </c>
      <c r="G290" s="3">
        <v>46023</v>
      </c>
      <c r="H290" t="s">
        <v>26</v>
      </c>
      <c r="M290" t="s">
        <v>32</v>
      </c>
      <c r="N290" s="1">
        <v>0</v>
      </c>
      <c r="O290">
        <v>0</v>
      </c>
    </row>
    <row r="291" spans="2:15">
      <c r="B291" s="2">
        <v>353</v>
      </c>
      <c r="C291">
        <v>13</v>
      </c>
      <c r="E291" s="62">
        <v>5079</v>
      </c>
      <c r="F291" s="4">
        <f t="shared" si="4"/>
        <v>32.559999999999995</v>
      </c>
      <c r="G291" s="3">
        <v>46023</v>
      </c>
      <c r="H291" t="s">
        <v>30</v>
      </c>
      <c r="M291" t="s">
        <v>32</v>
      </c>
      <c r="N291" s="1">
        <v>0</v>
      </c>
      <c r="O291">
        <v>0</v>
      </c>
    </row>
    <row r="292" spans="2:15">
      <c r="B292" s="2">
        <v>353</v>
      </c>
      <c r="C292">
        <v>13</v>
      </c>
      <c r="E292" s="62">
        <v>5228</v>
      </c>
      <c r="F292" s="4">
        <f t="shared" si="4"/>
        <v>33.519999999999996</v>
      </c>
      <c r="G292" s="3">
        <v>46023</v>
      </c>
      <c r="H292" t="s">
        <v>31</v>
      </c>
      <c r="M292" t="s">
        <v>32</v>
      </c>
      <c r="N292" s="1">
        <v>0</v>
      </c>
      <c r="O292">
        <v>0</v>
      </c>
    </row>
  </sheetData>
  <autoFilter ref="A1:O292" xr:uid="{8E850BC7-CC1D-46EC-838C-4702AAD9662A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2511-34CA-462F-BBF1-D3BA5957095A}">
  <dimension ref="A1:AK292"/>
  <sheetViews>
    <sheetView topLeftCell="A3" zoomScale="90" zoomScaleNormal="90" workbookViewId="0">
      <selection activeCell="F18" sqref="F18"/>
    </sheetView>
  </sheetViews>
  <sheetFormatPr baseColWidth="10" defaultColWidth="8.83203125" defaultRowHeight="15"/>
  <cols>
    <col min="1" max="1" width="21" bestFit="1" customWidth="1"/>
    <col min="2" max="2" width="11.33203125" customWidth="1"/>
    <col min="4" max="4" width="14.5" bestFit="1" customWidth="1"/>
  </cols>
  <sheetData>
    <row r="1" spans="1:37" ht="24">
      <c r="A1" s="10" t="s">
        <v>15</v>
      </c>
      <c r="B1" s="10"/>
      <c r="C1" s="10"/>
      <c r="D1" s="10"/>
    </row>
    <row r="2" spans="1:37">
      <c r="B2" t="s">
        <v>16</v>
      </c>
      <c r="C2" t="s">
        <v>17</v>
      </c>
      <c r="D2" t="s">
        <v>18</v>
      </c>
    </row>
    <row r="3" spans="1:37">
      <c r="A3" t="s">
        <v>21</v>
      </c>
      <c r="B3" s="3">
        <v>46003</v>
      </c>
      <c r="C3" t="s">
        <v>43</v>
      </c>
      <c r="D3" t="s">
        <v>53</v>
      </c>
      <c r="I3" t="s">
        <v>55</v>
      </c>
      <c r="J3" t="s">
        <v>54</v>
      </c>
    </row>
    <row r="4" spans="1:37">
      <c r="A4" t="s">
        <v>19</v>
      </c>
      <c r="B4" s="3"/>
    </row>
    <row r="6" spans="1:37" ht="24">
      <c r="A6" s="10" t="s">
        <v>18</v>
      </c>
      <c r="B6" s="10"/>
      <c r="C6" s="10"/>
      <c r="D6" s="10"/>
    </row>
    <row r="7" spans="1:37">
      <c r="A7" t="s">
        <v>20</v>
      </c>
    </row>
    <row r="10" spans="1:37">
      <c r="AE10" s="48"/>
      <c r="AF10" s="49"/>
      <c r="AG10" s="49"/>
      <c r="AH10" s="49"/>
      <c r="AI10" s="49"/>
      <c r="AJ10" s="49"/>
      <c r="AK10" s="49"/>
    </row>
    <row r="11" spans="1:37">
      <c r="A11" s="11" t="s">
        <v>34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27" t="s">
        <v>40</v>
      </c>
      <c r="O11" s="27"/>
      <c r="P11" s="27"/>
      <c r="Q11" s="27"/>
      <c r="R11" s="27"/>
      <c r="S11" s="27"/>
      <c r="T11" s="27"/>
      <c r="U11" s="27"/>
      <c r="V11" s="6"/>
      <c r="AE11" s="50"/>
      <c r="AF11" s="51"/>
      <c r="AG11" s="51"/>
      <c r="AH11" s="51"/>
      <c r="AI11" s="51"/>
      <c r="AJ11" s="51"/>
      <c r="AK11" s="51"/>
    </row>
    <row r="12" spans="1:37" ht="15" customHeight="1">
      <c r="A12" s="41" t="s">
        <v>44</v>
      </c>
      <c r="B12" s="41"/>
      <c r="C12" s="12">
        <v>1</v>
      </c>
      <c r="D12" s="13">
        <v>2</v>
      </c>
      <c r="E12" s="12">
        <v>3</v>
      </c>
      <c r="F12" s="13">
        <v>4</v>
      </c>
      <c r="G12" s="13">
        <v>5</v>
      </c>
      <c r="H12" s="13">
        <v>6</v>
      </c>
      <c r="I12" s="13">
        <v>7</v>
      </c>
      <c r="J12" s="13">
        <v>8</v>
      </c>
      <c r="K12" s="13">
        <v>9</v>
      </c>
      <c r="L12" s="12">
        <v>10</v>
      </c>
      <c r="M12" s="7"/>
      <c r="N12" s="28"/>
      <c r="O12" s="29"/>
      <c r="P12" s="29"/>
      <c r="Q12" s="41" t="s">
        <v>44</v>
      </c>
      <c r="R12" s="41"/>
      <c r="S12" s="12">
        <v>1</v>
      </c>
      <c r="T12" s="13">
        <v>2</v>
      </c>
      <c r="U12" s="12">
        <v>3</v>
      </c>
      <c r="V12" s="13">
        <v>4</v>
      </c>
      <c r="W12" s="13">
        <v>5</v>
      </c>
      <c r="X12" s="13">
        <v>6</v>
      </c>
      <c r="Y12" s="13">
        <v>7</v>
      </c>
      <c r="Z12" s="13">
        <v>8</v>
      </c>
      <c r="AA12" s="13">
        <v>9</v>
      </c>
      <c r="AB12" s="12">
        <v>10</v>
      </c>
      <c r="AE12" s="52"/>
      <c r="AF12" s="53"/>
      <c r="AG12" s="53"/>
      <c r="AH12" s="53"/>
      <c r="AI12" s="53"/>
      <c r="AJ12" s="53"/>
      <c r="AK12" s="53"/>
    </row>
    <row r="13" spans="1:37">
      <c r="A13" s="42">
        <v>0</v>
      </c>
      <c r="B13" s="42"/>
      <c r="C13" s="14"/>
      <c r="D13" s="14"/>
      <c r="E13" s="14"/>
      <c r="F13" s="15">
        <v>2496</v>
      </c>
      <c r="G13" s="15">
        <v>2496</v>
      </c>
      <c r="H13" s="16">
        <v>2564</v>
      </c>
      <c r="I13" s="16">
        <v>2840</v>
      </c>
      <c r="J13" s="16">
        <v>3206</v>
      </c>
      <c r="K13" s="16">
        <v>3524</v>
      </c>
      <c r="L13" s="17">
        <v>3777</v>
      </c>
      <c r="M13" s="7"/>
      <c r="N13" s="30"/>
      <c r="O13" s="31"/>
      <c r="P13" s="31"/>
      <c r="Q13" s="42">
        <v>0</v>
      </c>
      <c r="R13" s="42"/>
      <c r="S13" s="36"/>
      <c r="T13" s="36"/>
      <c r="U13" s="36"/>
      <c r="V13" s="38">
        <v>16</v>
      </c>
      <c r="W13" s="38">
        <v>16</v>
      </c>
      <c r="X13" s="36">
        <f t="shared" ref="X13:X24" si="0">ROUNDUP(H13/156,2)</f>
        <v>16.440000000000001</v>
      </c>
      <c r="Y13" s="36">
        <f t="shared" ref="Y13:Y24" si="1">ROUNDUP(I13/156,2)</f>
        <v>18.21</v>
      </c>
      <c r="Z13" s="36">
        <f t="shared" ref="Z13:Z24" si="2">ROUNDUP(J13/156,2)</f>
        <v>20.560000000000002</v>
      </c>
      <c r="AA13" s="36">
        <f t="shared" ref="AA13:AA24" si="3">ROUNDUP(K13/156,2)</f>
        <v>22.59</v>
      </c>
      <c r="AB13" s="36">
        <f t="shared" ref="AB13:AB23" si="4">ROUNDUP(L13/156,2)</f>
        <v>24.220000000000002</v>
      </c>
      <c r="AE13" s="52"/>
      <c r="AF13" s="53"/>
      <c r="AG13" s="53"/>
      <c r="AH13" s="53"/>
      <c r="AI13" s="53"/>
      <c r="AJ13" s="53"/>
      <c r="AK13" s="53"/>
    </row>
    <row r="14" spans="1:37">
      <c r="A14" s="43">
        <v>1</v>
      </c>
      <c r="B14" s="43"/>
      <c r="C14" s="18"/>
      <c r="D14" s="18"/>
      <c r="E14" s="19">
        <v>2496</v>
      </c>
      <c r="F14" s="20">
        <v>2496</v>
      </c>
      <c r="G14" s="21">
        <v>2524</v>
      </c>
      <c r="H14" s="21">
        <v>2667</v>
      </c>
      <c r="I14" s="21">
        <v>2946</v>
      </c>
      <c r="J14" s="21">
        <v>3323</v>
      </c>
      <c r="K14" s="21">
        <v>3661</v>
      </c>
      <c r="L14" s="22">
        <v>3939</v>
      </c>
      <c r="M14" s="7"/>
      <c r="N14" s="30"/>
      <c r="O14" s="31"/>
      <c r="P14" s="31"/>
      <c r="Q14" s="43">
        <v>1</v>
      </c>
      <c r="R14" s="43"/>
      <c r="S14" s="36"/>
      <c r="T14" s="36"/>
      <c r="U14" s="38">
        <v>16</v>
      </c>
      <c r="V14" s="38">
        <v>16</v>
      </c>
      <c r="W14" s="36">
        <f t="shared" ref="W13:W24" si="5">ROUNDUP(G14/156,2)</f>
        <v>16.180000000000003</v>
      </c>
      <c r="X14" s="36">
        <f t="shared" si="0"/>
        <v>17.100000000000001</v>
      </c>
      <c r="Y14" s="36">
        <f t="shared" si="1"/>
        <v>18.89</v>
      </c>
      <c r="Z14" s="36">
        <f t="shared" si="2"/>
        <v>21.310000000000002</v>
      </c>
      <c r="AA14" s="36">
        <f t="shared" si="3"/>
        <v>23.470000000000002</v>
      </c>
      <c r="AB14" s="36">
        <f t="shared" si="4"/>
        <v>25.25</v>
      </c>
      <c r="AE14" s="52"/>
      <c r="AF14" s="53"/>
      <c r="AG14" s="53"/>
      <c r="AH14" s="53"/>
      <c r="AI14" s="53"/>
      <c r="AJ14" s="53"/>
      <c r="AK14" s="53"/>
    </row>
    <row r="15" spans="1:37">
      <c r="A15" s="43">
        <v>2</v>
      </c>
      <c r="B15" s="43"/>
      <c r="C15" s="18"/>
      <c r="D15" s="20">
        <v>2496</v>
      </c>
      <c r="E15" s="19">
        <v>2496</v>
      </c>
      <c r="F15" s="21">
        <v>2547</v>
      </c>
      <c r="G15" s="21">
        <v>2625</v>
      </c>
      <c r="H15" s="21">
        <v>2770</v>
      </c>
      <c r="I15" s="21">
        <v>3053</v>
      </c>
      <c r="J15" s="21">
        <v>3441</v>
      </c>
      <c r="K15" s="21">
        <v>3799</v>
      </c>
      <c r="L15" s="22">
        <v>4100</v>
      </c>
      <c r="M15" s="7"/>
      <c r="N15" s="30"/>
      <c r="O15" s="31"/>
      <c r="P15" s="31"/>
      <c r="Q15" s="43">
        <v>2</v>
      </c>
      <c r="R15" s="43"/>
      <c r="S15" s="36"/>
      <c r="T15" s="38">
        <v>16</v>
      </c>
      <c r="U15" s="38">
        <v>16</v>
      </c>
      <c r="V15" s="36">
        <f t="shared" ref="V13:V24" si="6">ROUNDUP(F15/156,2)</f>
        <v>16.330000000000002</v>
      </c>
      <c r="W15" s="36">
        <f t="shared" si="5"/>
        <v>16.830000000000002</v>
      </c>
      <c r="X15" s="36">
        <f t="shared" si="0"/>
        <v>17.760000000000002</v>
      </c>
      <c r="Y15" s="36">
        <f t="shared" si="1"/>
        <v>19.580000000000002</v>
      </c>
      <c r="Z15" s="36">
        <f t="shared" si="2"/>
        <v>22.060000000000002</v>
      </c>
      <c r="AA15" s="36">
        <f t="shared" si="3"/>
        <v>24.360000000000003</v>
      </c>
      <c r="AB15" s="36">
        <f t="shared" si="4"/>
        <v>26.290000000000003</v>
      </c>
      <c r="AE15" s="54"/>
      <c r="AF15" s="53"/>
      <c r="AG15" s="53"/>
      <c r="AH15" s="53"/>
      <c r="AI15" s="53"/>
      <c r="AJ15" s="53"/>
      <c r="AK15" s="53"/>
    </row>
    <row r="16" spans="1:37">
      <c r="A16" s="43">
        <v>3</v>
      </c>
      <c r="B16" s="43"/>
      <c r="C16" s="19">
        <v>2496</v>
      </c>
      <c r="D16" s="20">
        <v>2496</v>
      </c>
      <c r="E16" s="22">
        <v>2554</v>
      </c>
      <c r="F16" s="21">
        <v>2639</v>
      </c>
      <c r="G16" s="21">
        <v>2726</v>
      </c>
      <c r="H16" s="21">
        <v>2873</v>
      </c>
      <c r="I16" s="21">
        <v>3160</v>
      </c>
      <c r="J16" s="21">
        <v>3558</v>
      </c>
      <c r="K16" s="21">
        <v>3936</v>
      </c>
      <c r="L16" s="22">
        <v>4262</v>
      </c>
      <c r="M16" s="7"/>
      <c r="N16" s="32"/>
      <c r="O16" s="31"/>
      <c r="P16" s="31"/>
      <c r="Q16" s="43">
        <v>3</v>
      </c>
      <c r="R16" s="43"/>
      <c r="S16" s="38">
        <v>16</v>
      </c>
      <c r="T16" s="38">
        <v>16</v>
      </c>
      <c r="U16" s="36">
        <f t="shared" ref="U13:U24" si="7">ROUNDUP(E16/156,2)</f>
        <v>16.380000000000003</v>
      </c>
      <c r="V16" s="36">
        <f t="shared" si="6"/>
        <v>16.920000000000002</v>
      </c>
      <c r="W16" s="36">
        <f t="shared" si="5"/>
        <v>17.48</v>
      </c>
      <c r="X16" s="36">
        <f t="shared" si="0"/>
        <v>18.420000000000002</v>
      </c>
      <c r="Y16" s="36">
        <f t="shared" si="1"/>
        <v>20.260000000000002</v>
      </c>
      <c r="Z16" s="36">
        <f t="shared" si="2"/>
        <v>22.810000000000002</v>
      </c>
      <c r="AA16" s="36">
        <f t="shared" si="3"/>
        <v>25.240000000000002</v>
      </c>
      <c r="AB16" s="36">
        <f t="shared" si="4"/>
        <v>27.330000000000002</v>
      </c>
      <c r="AE16" s="54"/>
      <c r="AF16" s="53"/>
      <c r="AG16" s="53"/>
      <c r="AH16" s="53"/>
      <c r="AI16" s="53"/>
      <c r="AJ16" s="53"/>
      <c r="AK16" s="53"/>
    </row>
    <row r="17" spans="1:37">
      <c r="A17" s="43">
        <v>4</v>
      </c>
      <c r="B17" s="43"/>
      <c r="C17" s="19">
        <v>2496</v>
      </c>
      <c r="D17" s="21">
        <v>2519</v>
      </c>
      <c r="E17" s="22">
        <v>2637</v>
      </c>
      <c r="F17" s="21">
        <v>2731</v>
      </c>
      <c r="G17" s="21">
        <v>2828</v>
      </c>
      <c r="H17" s="21">
        <v>2976</v>
      </c>
      <c r="I17" s="21">
        <v>3267</v>
      </c>
      <c r="J17" s="21">
        <v>3676</v>
      </c>
      <c r="K17" s="21">
        <v>4073</v>
      </c>
      <c r="L17" s="22">
        <v>4424</v>
      </c>
      <c r="M17" s="7"/>
      <c r="N17" s="32"/>
      <c r="O17" s="31"/>
      <c r="P17" s="31"/>
      <c r="Q17" s="43">
        <v>4</v>
      </c>
      <c r="R17" s="43"/>
      <c r="S17" s="38">
        <v>16</v>
      </c>
      <c r="T17" s="36">
        <f t="shared" ref="T13:T24" si="8">ROUNDUP(D17/156,2)</f>
        <v>16.150000000000002</v>
      </c>
      <c r="U17" s="36">
        <f t="shared" si="7"/>
        <v>16.91</v>
      </c>
      <c r="V17" s="36">
        <f t="shared" si="6"/>
        <v>17.510000000000002</v>
      </c>
      <c r="W17" s="36">
        <f t="shared" si="5"/>
        <v>18.130000000000003</v>
      </c>
      <c r="X17" s="36">
        <f t="shared" si="0"/>
        <v>19.080000000000002</v>
      </c>
      <c r="Y17" s="36">
        <f t="shared" si="1"/>
        <v>20.950000000000003</v>
      </c>
      <c r="Z17" s="36">
        <f t="shared" si="2"/>
        <v>23.57</v>
      </c>
      <c r="AA17" s="36">
        <f t="shared" si="3"/>
        <v>26.110000000000003</v>
      </c>
      <c r="AB17" s="36">
        <f t="shared" si="4"/>
        <v>28.360000000000003</v>
      </c>
      <c r="AE17" s="54"/>
      <c r="AF17" s="53"/>
      <c r="AG17" s="53"/>
      <c r="AH17" s="53"/>
      <c r="AI17" s="53"/>
      <c r="AJ17" s="53"/>
      <c r="AK17" s="53"/>
    </row>
    <row r="18" spans="1:37">
      <c r="A18" s="43">
        <v>5</v>
      </c>
      <c r="B18" s="43"/>
      <c r="C18" s="19">
        <v>2496</v>
      </c>
      <c r="D18" s="21">
        <v>2585</v>
      </c>
      <c r="E18" s="22">
        <v>2719</v>
      </c>
      <c r="F18" s="21">
        <v>2823</v>
      </c>
      <c r="G18" s="21">
        <v>2928</v>
      </c>
      <c r="H18" s="21">
        <v>3079</v>
      </c>
      <c r="I18" s="21">
        <v>3374</v>
      </c>
      <c r="J18" s="21">
        <v>3793</v>
      </c>
      <c r="K18" s="21">
        <v>4210</v>
      </c>
      <c r="L18" s="22">
        <v>4585</v>
      </c>
      <c r="M18" s="7"/>
      <c r="N18" s="32"/>
      <c r="O18" s="31"/>
      <c r="P18" s="31"/>
      <c r="Q18" s="43">
        <v>5</v>
      </c>
      <c r="R18" s="43"/>
      <c r="S18" s="38">
        <v>16</v>
      </c>
      <c r="T18" s="36">
        <f t="shared" si="8"/>
        <v>16.580000000000002</v>
      </c>
      <c r="U18" s="36">
        <f t="shared" si="7"/>
        <v>17.430000000000003</v>
      </c>
      <c r="V18" s="36">
        <f t="shared" si="6"/>
        <v>18.100000000000001</v>
      </c>
      <c r="W18" s="36">
        <f t="shared" si="5"/>
        <v>18.770000000000003</v>
      </c>
      <c r="X18" s="36">
        <f t="shared" si="0"/>
        <v>19.740000000000002</v>
      </c>
      <c r="Y18" s="36">
        <f t="shared" si="1"/>
        <v>21.630000000000003</v>
      </c>
      <c r="Z18" s="36">
        <f t="shared" si="2"/>
        <v>24.32</v>
      </c>
      <c r="AA18" s="36">
        <f t="shared" si="3"/>
        <v>26.990000000000002</v>
      </c>
      <c r="AB18" s="36">
        <f t="shared" si="4"/>
        <v>29.400000000000002</v>
      </c>
      <c r="AE18" s="54"/>
      <c r="AF18" s="53"/>
      <c r="AG18" s="53"/>
      <c r="AH18" s="53"/>
      <c r="AI18" s="53"/>
      <c r="AJ18" s="53"/>
      <c r="AK18" s="53"/>
    </row>
    <row r="19" spans="1:37">
      <c r="A19" s="43">
        <v>6</v>
      </c>
      <c r="B19" s="43"/>
      <c r="C19" s="19">
        <v>2496</v>
      </c>
      <c r="D19" s="21">
        <v>2650</v>
      </c>
      <c r="E19" s="22">
        <v>2802</v>
      </c>
      <c r="F19" s="21">
        <v>2914</v>
      </c>
      <c r="G19" s="21">
        <v>3029</v>
      </c>
      <c r="H19" s="21">
        <v>3181</v>
      </c>
      <c r="I19" s="21">
        <v>3481</v>
      </c>
      <c r="J19" s="21">
        <v>3912</v>
      </c>
      <c r="K19" s="21">
        <v>4348</v>
      </c>
      <c r="L19" s="22">
        <v>4746</v>
      </c>
      <c r="M19" s="7"/>
      <c r="N19" s="32"/>
      <c r="O19" s="31"/>
      <c r="P19" s="31"/>
      <c r="Q19" s="43">
        <v>6</v>
      </c>
      <c r="R19" s="43"/>
      <c r="S19" s="36">
        <f t="shared" ref="S13:S24" si="9">ROUNDUP(C19/156,2)</f>
        <v>16</v>
      </c>
      <c r="T19" s="36">
        <f t="shared" si="8"/>
        <v>16.990000000000002</v>
      </c>
      <c r="U19" s="36">
        <f t="shared" si="7"/>
        <v>17.970000000000002</v>
      </c>
      <c r="V19" s="36">
        <f t="shared" si="6"/>
        <v>18.680000000000003</v>
      </c>
      <c r="W19" s="36">
        <f t="shared" si="5"/>
        <v>19.420000000000002</v>
      </c>
      <c r="X19" s="36">
        <f t="shared" si="0"/>
        <v>20.400000000000002</v>
      </c>
      <c r="Y19" s="36">
        <f t="shared" si="1"/>
        <v>22.32</v>
      </c>
      <c r="Z19" s="36">
        <f t="shared" si="2"/>
        <v>25.080000000000002</v>
      </c>
      <c r="AA19" s="36">
        <f t="shared" si="3"/>
        <v>27.880000000000003</v>
      </c>
      <c r="AB19" s="36">
        <f t="shared" si="4"/>
        <v>30.430000000000003</v>
      </c>
      <c r="AE19" s="54"/>
      <c r="AF19" s="53"/>
      <c r="AG19" s="53"/>
      <c r="AH19" s="53"/>
      <c r="AI19" s="53"/>
      <c r="AJ19" s="53"/>
      <c r="AK19" s="53"/>
    </row>
    <row r="20" spans="1:37">
      <c r="A20" s="43">
        <v>7</v>
      </c>
      <c r="B20" s="43"/>
      <c r="C20" s="22">
        <v>2543</v>
      </c>
      <c r="D20" s="21">
        <v>2715</v>
      </c>
      <c r="E20" s="22">
        <v>2885</v>
      </c>
      <c r="F20" s="21">
        <v>3006</v>
      </c>
      <c r="G20" s="21">
        <v>3130</v>
      </c>
      <c r="H20" s="21">
        <v>3284</v>
      </c>
      <c r="I20" s="21">
        <v>3587</v>
      </c>
      <c r="J20" s="21">
        <v>4029</v>
      </c>
      <c r="K20" s="21">
        <v>4485</v>
      </c>
      <c r="L20" s="22">
        <v>4908</v>
      </c>
      <c r="M20" s="7"/>
      <c r="N20" s="32"/>
      <c r="O20" s="31"/>
      <c r="P20" s="31"/>
      <c r="Q20" s="43">
        <v>7</v>
      </c>
      <c r="R20" s="43"/>
      <c r="S20" s="36">
        <f t="shared" si="9"/>
        <v>16.310000000000002</v>
      </c>
      <c r="T20" s="36">
        <f t="shared" si="8"/>
        <v>17.41</v>
      </c>
      <c r="U20" s="36">
        <f t="shared" si="7"/>
        <v>18.5</v>
      </c>
      <c r="V20" s="36">
        <f t="shared" si="6"/>
        <v>19.270000000000003</v>
      </c>
      <c r="W20" s="36">
        <f t="shared" si="5"/>
        <v>20.07</v>
      </c>
      <c r="X20" s="36">
        <f t="shared" si="0"/>
        <v>21.060000000000002</v>
      </c>
      <c r="Y20" s="36">
        <f t="shared" si="1"/>
        <v>23</v>
      </c>
      <c r="Z20" s="36">
        <f t="shared" si="2"/>
        <v>25.830000000000002</v>
      </c>
      <c r="AA20" s="36">
        <f t="shared" si="3"/>
        <v>28.75</v>
      </c>
      <c r="AB20" s="36">
        <f t="shared" si="4"/>
        <v>31.470000000000002</v>
      </c>
      <c r="AE20" s="54"/>
      <c r="AF20" s="53"/>
      <c r="AG20" s="53"/>
      <c r="AH20" s="53"/>
      <c r="AI20" s="53"/>
      <c r="AJ20" s="53"/>
      <c r="AK20" s="53"/>
    </row>
    <row r="21" spans="1:37">
      <c r="A21" s="43">
        <v>8</v>
      </c>
      <c r="B21" s="43"/>
      <c r="C21" s="22">
        <v>2591</v>
      </c>
      <c r="D21" s="21">
        <v>2781</v>
      </c>
      <c r="E21" s="22">
        <v>2967</v>
      </c>
      <c r="F21" s="21">
        <v>3098</v>
      </c>
      <c r="G21" s="21">
        <v>3231</v>
      </c>
      <c r="H21" s="21">
        <v>3387</v>
      </c>
      <c r="I21" s="21">
        <v>3695</v>
      </c>
      <c r="J21" s="21">
        <v>4147</v>
      </c>
      <c r="K21" s="21">
        <v>4622</v>
      </c>
      <c r="L21" s="22">
        <v>5070</v>
      </c>
      <c r="M21" s="7"/>
      <c r="N21" s="32"/>
      <c r="O21" s="31"/>
      <c r="P21" s="31"/>
      <c r="Q21" s="43">
        <v>8</v>
      </c>
      <c r="R21" s="43"/>
      <c r="S21" s="36">
        <f t="shared" si="9"/>
        <v>16.610000000000003</v>
      </c>
      <c r="T21" s="36">
        <f t="shared" si="8"/>
        <v>17.830000000000002</v>
      </c>
      <c r="U21" s="36">
        <f t="shared" si="7"/>
        <v>19.020000000000003</v>
      </c>
      <c r="V21" s="36">
        <f t="shared" si="6"/>
        <v>19.860000000000003</v>
      </c>
      <c r="W21" s="36">
        <f t="shared" si="5"/>
        <v>20.720000000000002</v>
      </c>
      <c r="X21" s="36">
        <f t="shared" si="0"/>
        <v>21.720000000000002</v>
      </c>
      <c r="Y21" s="36">
        <f t="shared" si="1"/>
        <v>23.69</v>
      </c>
      <c r="Z21" s="36">
        <f t="shared" si="2"/>
        <v>26.59</v>
      </c>
      <c r="AA21" s="36">
        <f t="shared" si="3"/>
        <v>29.630000000000003</v>
      </c>
      <c r="AB21" s="36">
        <f t="shared" si="4"/>
        <v>32.5</v>
      </c>
      <c r="AE21" s="54"/>
      <c r="AF21" s="53"/>
      <c r="AG21" s="53"/>
      <c r="AH21" s="53"/>
      <c r="AI21" s="53"/>
      <c r="AJ21" s="53"/>
      <c r="AK21" s="53"/>
    </row>
    <row r="22" spans="1:37">
      <c r="A22" s="43">
        <v>9</v>
      </c>
      <c r="B22" s="43"/>
      <c r="C22" s="22">
        <v>2639</v>
      </c>
      <c r="D22" s="21">
        <v>2846</v>
      </c>
      <c r="E22" s="22">
        <v>3050</v>
      </c>
      <c r="F22" s="21">
        <v>3190</v>
      </c>
      <c r="G22" s="21">
        <v>3333</v>
      </c>
      <c r="H22" s="21">
        <v>3490</v>
      </c>
      <c r="I22" s="21">
        <v>3801</v>
      </c>
      <c r="J22" s="21">
        <v>4264</v>
      </c>
      <c r="K22" s="21">
        <v>4759</v>
      </c>
      <c r="L22" s="22">
        <v>5232</v>
      </c>
      <c r="M22" s="7"/>
      <c r="N22" s="32"/>
      <c r="O22" s="31"/>
      <c r="P22" s="31"/>
      <c r="Q22" s="43">
        <v>9</v>
      </c>
      <c r="R22" s="43"/>
      <c r="S22" s="36">
        <f t="shared" si="9"/>
        <v>16.920000000000002</v>
      </c>
      <c r="T22" s="36">
        <f t="shared" si="8"/>
        <v>18.25</v>
      </c>
      <c r="U22" s="36">
        <f t="shared" si="7"/>
        <v>19.560000000000002</v>
      </c>
      <c r="V22" s="36">
        <f t="shared" si="6"/>
        <v>20.450000000000003</v>
      </c>
      <c r="W22" s="36">
        <f t="shared" si="5"/>
        <v>21.37</v>
      </c>
      <c r="X22" s="36">
        <f t="shared" si="0"/>
        <v>22.380000000000003</v>
      </c>
      <c r="Y22" s="36">
        <f t="shared" si="1"/>
        <v>24.37</v>
      </c>
      <c r="Z22" s="36">
        <f t="shared" si="2"/>
        <v>27.34</v>
      </c>
      <c r="AA22" s="36">
        <f t="shared" si="3"/>
        <v>30.51</v>
      </c>
      <c r="AB22" s="36">
        <f t="shared" si="4"/>
        <v>33.54</v>
      </c>
      <c r="AE22" s="54"/>
      <c r="AF22" s="53"/>
      <c r="AG22" s="53"/>
      <c r="AH22" s="53"/>
      <c r="AI22" s="53"/>
      <c r="AJ22" s="53"/>
      <c r="AK22" s="53"/>
    </row>
    <row r="23" spans="1:37">
      <c r="A23" s="43">
        <v>10</v>
      </c>
      <c r="B23" s="43"/>
      <c r="C23" s="22">
        <v>2686</v>
      </c>
      <c r="D23" s="21">
        <v>2912</v>
      </c>
      <c r="E23" s="22">
        <v>3133</v>
      </c>
      <c r="F23" s="21">
        <v>3282</v>
      </c>
      <c r="G23" s="21">
        <v>3433</v>
      </c>
      <c r="H23" s="21">
        <v>3593</v>
      </c>
      <c r="I23" s="21">
        <v>3908</v>
      </c>
      <c r="J23" s="21">
        <v>4382</v>
      </c>
      <c r="K23" s="21">
        <v>4896</v>
      </c>
      <c r="L23" s="22">
        <v>5393</v>
      </c>
      <c r="M23" s="7"/>
      <c r="N23" s="32"/>
      <c r="O23" s="31"/>
      <c r="P23" s="31"/>
      <c r="Q23" s="43">
        <v>10</v>
      </c>
      <c r="R23" s="43"/>
      <c r="S23" s="36">
        <f t="shared" si="9"/>
        <v>17.220000000000002</v>
      </c>
      <c r="T23" s="36">
        <f t="shared" si="8"/>
        <v>18.670000000000002</v>
      </c>
      <c r="U23" s="36">
        <f t="shared" si="7"/>
        <v>20.09</v>
      </c>
      <c r="V23" s="36">
        <f t="shared" si="6"/>
        <v>21.040000000000003</v>
      </c>
      <c r="W23" s="36">
        <f t="shared" si="5"/>
        <v>22.01</v>
      </c>
      <c r="X23" s="36">
        <f t="shared" si="0"/>
        <v>23.040000000000003</v>
      </c>
      <c r="Y23" s="36">
        <f t="shared" si="1"/>
        <v>25.060000000000002</v>
      </c>
      <c r="Z23" s="36">
        <f t="shared" si="2"/>
        <v>28.09</v>
      </c>
      <c r="AA23" s="36">
        <f t="shared" si="3"/>
        <v>31.39</v>
      </c>
      <c r="AB23" s="36">
        <f t="shared" si="4"/>
        <v>34.58</v>
      </c>
      <c r="AE23" s="54"/>
      <c r="AF23" s="53"/>
      <c r="AG23" s="53"/>
      <c r="AH23" s="53"/>
      <c r="AI23" s="53"/>
      <c r="AJ23" s="53"/>
      <c r="AK23" s="53"/>
    </row>
    <row r="24" spans="1:37">
      <c r="A24" s="43">
        <v>11</v>
      </c>
      <c r="B24" s="43"/>
      <c r="C24" s="22">
        <v>2734</v>
      </c>
      <c r="D24" s="21">
        <v>2978</v>
      </c>
      <c r="E24" s="22">
        <v>3215</v>
      </c>
      <c r="F24" s="21">
        <v>3374</v>
      </c>
      <c r="G24" s="21">
        <v>3534</v>
      </c>
      <c r="H24" s="21">
        <v>3696</v>
      </c>
      <c r="I24" s="21">
        <v>4015</v>
      </c>
      <c r="J24" s="21">
        <v>4499</v>
      </c>
      <c r="K24" s="21">
        <v>5033</v>
      </c>
      <c r="L24" s="22">
        <v>5554</v>
      </c>
      <c r="M24" s="7"/>
      <c r="N24" s="32"/>
      <c r="O24" s="31"/>
      <c r="P24" s="31"/>
      <c r="Q24" s="43">
        <v>11</v>
      </c>
      <c r="R24" s="43"/>
      <c r="S24" s="36">
        <f t="shared" si="9"/>
        <v>17.53</v>
      </c>
      <c r="T24" s="36">
        <f t="shared" si="8"/>
        <v>19.09</v>
      </c>
      <c r="U24" s="36">
        <f t="shared" si="7"/>
        <v>20.610000000000003</v>
      </c>
      <c r="V24" s="36">
        <f t="shared" si="6"/>
        <v>21.630000000000003</v>
      </c>
      <c r="W24" s="36">
        <f t="shared" si="5"/>
        <v>22.66</v>
      </c>
      <c r="X24" s="36">
        <f t="shared" si="0"/>
        <v>23.700000000000003</v>
      </c>
      <c r="Y24" s="36">
        <f t="shared" si="1"/>
        <v>25.740000000000002</v>
      </c>
      <c r="Z24" s="36">
        <f t="shared" si="2"/>
        <v>28.84</v>
      </c>
      <c r="AA24" s="36">
        <f t="shared" si="3"/>
        <v>32.269999999999996</v>
      </c>
      <c r="AB24" s="36">
        <f>ROUNDUP(L24/156,2)</f>
        <v>35.61</v>
      </c>
      <c r="AE24" s="54"/>
      <c r="AF24" s="53"/>
      <c r="AG24" s="53"/>
      <c r="AH24" s="53"/>
      <c r="AI24" s="53"/>
      <c r="AJ24" s="53"/>
      <c r="AK24" s="53"/>
    </row>
    <row r="25" spans="1:37" ht="15" customHeight="1">
      <c r="A25" s="45"/>
      <c r="B25" s="45"/>
      <c r="C25" s="23" t="s">
        <v>36</v>
      </c>
      <c r="D25" s="23"/>
      <c r="E25" s="24"/>
      <c r="F25" s="24"/>
      <c r="G25" s="24"/>
      <c r="H25" s="24"/>
      <c r="I25" s="24"/>
      <c r="J25" s="24"/>
      <c r="K25" s="24"/>
      <c r="L25" s="24"/>
      <c r="M25" s="7"/>
      <c r="N25" s="32"/>
      <c r="O25" s="31"/>
      <c r="P25" s="31"/>
      <c r="Q25" s="44"/>
      <c r="R25" s="44"/>
      <c r="S25" s="34"/>
      <c r="T25" s="34"/>
      <c r="U25" s="35"/>
      <c r="V25" s="36"/>
      <c r="W25" s="37"/>
      <c r="X25" s="37"/>
      <c r="Y25" s="37"/>
      <c r="Z25" s="37"/>
      <c r="AA25" s="37"/>
      <c r="AB25" s="37"/>
      <c r="AE25" s="54"/>
      <c r="AF25" s="53"/>
      <c r="AG25" s="53"/>
      <c r="AH25" s="53"/>
      <c r="AI25" s="53"/>
      <c r="AJ25" s="53"/>
      <c r="AK25" s="53"/>
    </row>
    <row r="26" spans="1:37">
      <c r="A26" s="41" t="s">
        <v>44</v>
      </c>
      <c r="B26" s="41"/>
      <c r="C26" s="25" t="s">
        <v>37</v>
      </c>
      <c r="D26" s="13">
        <v>11</v>
      </c>
      <c r="E26" s="25" t="s">
        <v>38</v>
      </c>
      <c r="F26" s="13">
        <v>12</v>
      </c>
      <c r="G26" s="13">
        <v>13</v>
      </c>
      <c r="H26" s="13">
        <v>14</v>
      </c>
      <c r="I26" s="13">
        <v>15</v>
      </c>
      <c r="J26" s="13">
        <v>16</v>
      </c>
      <c r="K26" s="13">
        <v>17</v>
      </c>
      <c r="L26" s="12">
        <v>18</v>
      </c>
      <c r="M26" s="7"/>
      <c r="N26" s="32"/>
      <c r="O26" s="31"/>
      <c r="P26" s="31"/>
      <c r="Q26" s="45"/>
      <c r="R26" s="45"/>
      <c r="S26" s="23" t="s">
        <v>36</v>
      </c>
      <c r="T26" s="23"/>
      <c r="U26" s="24"/>
      <c r="V26" s="24"/>
      <c r="W26" s="24"/>
      <c r="X26" s="24"/>
      <c r="Y26" s="24"/>
      <c r="Z26" s="24"/>
      <c r="AA26" s="24"/>
      <c r="AB26" s="24"/>
      <c r="AE26" s="54"/>
      <c r="AF26" s="53"/>
      <c r="AG26" s="53"/>
      <c r="AH26" s="53"/>
      <c r="AI26" s="53"/>
      <c r="AJ26" s="53"/>
      <c r="AK26" s="53"/>
    </row>
    <row r="27" spans="1:37">
      <c r="A27" s="42">
        <v>0</v>
      </c>
      <c r="B27" s="42"/>
      <c r="C27" s="17">
        <v>4132</v>
      </c>
      <c r="D27" s="16">
        <v>4465</v>
      </c>
      <c r="E27" s="17">
        <v>4884</v>
      </c>
      <c r="F27" s="16">
        <v>5303</v>
      </c>
      <c r="G27" s="16">
        <v>5885</v>
      </c>
      <c r="H27" s="16">
        <v>6232</v>
      </c>
      <c r="I27" s="16">
        <v>6679</v>
      </c>
      <c r="J27" s="16">
        <v>7130</v>
      </c>
      <c r="K27" s="16">
        <v>7857</v>
      </c>
      <c r="L27" s="17">
        <v>8676</v>
      </c>
      <c r="M27" s="7"/>
      <c r="N27" s="32"/>
      <c r="O27" s="31"/>
      <c r="P27" s="31"/>
      <c r="Q27" s="41" t="s">
        <v>44</v>
      </c>
      <c r="R27" s="41"/>
      <c r="S27" s="25" t="s">
        <v>37</v>
      </c>
      <c r="T27" s="13">
        <v>11</v>
      </c>
      <c r="U27" s="25" t="s">
        <v>38</v>
      </c>
      <c r="V27" s="13">
        <v>12</v>
      </c>
      <c r="W27" s="13">
        <v>13</v>
      </c>
      <c r="X27" s="13">
        <v>14</v>
      </c>
      <c r="Y27" s="13">
        <v>15</v>
      </c>
      <c r="Z27" s="13">
        <v>16</v>
      </c>
      <c r="AA27" s="13">
        <v>17</v>
      </c>
      <c r="AB27" s="12">
        <v>18</v>
      </c>
      <c r="AE27" s="54"/>
      <c r="AF27" s="53"/>
      <c r="AG27" s="53"/>
      <c r="AH27" s="53"/>
      <c r="AI27" s="53"/>
      <c r="AJ27" s="53"/>
      <c r="AK27" s="53"/>
    </row>
    <row r="28" spans="1:37">
      <c r="A28" s="43">
        <v>1</v>
      </c>
      <c r="B28" s="43"/>
      <c r="C28" s="22">
        <v>4298</v>
      </c>
      <c r="D28" s="21">
        <v>4637</v>
      </c>
      <c r="E28" s="22">
        <v>5056</v>
      </c>
      <c r="F28" s="21">
        <v>5475</v>
      </c>
      <c r="G28" s="21">
        <v>6053</v>
      </c>
      <c r="H28" s="21">
        <v>6436</v>
      </c>
      <c r="I28" s="21">
        <v>6914</v>
      </c>
      <c r="J28" s="21">
        <v>7404</v>
      </c>
      <c r="K28" s="21">
        <v>8153</v>
      </c>
      <c r="L28" s="22">
        <v>8995</v>
      </c>
      <c r="M28" s="7"/>
      <c r="N28" s="32"/>
      <c r="O28" s="31"/>
      <c r="P28" s="31"/>
      <c r="Q28" s="42">
        <v>0</v>
      </c>
      <c r="R28" s="42"/>
      <c r="S28" s="59">
        <f>ROUNDUP(C27/156,2)</f>
        <v>26.490000000000002</v>
      </c>
      <c r="T28" s="59">
        <f t="shared" ref="T28:AB39" si="10">ROUNDUP(D27/156,2)</f>
        <v>28.630000000000003</v>
      </c>
      <c r="U28" s="59">
        <f t="shared" si="10"/>
        <v>31.310000000000002</v>
      </c>
      <c r="V28" s="59">
        <f t="shared" si="10"/>
        <v>34</v>
      </c>
      <c r="W28" s="59">
        <f t="shared" si="10"/>
        <v>37.729999999999997</v>
      </c>
      <c r="X28" s="59">
        <f t="shared" si="10"/>
        <v>39.949999999999996</v>
      </c>
      <c r="Y28" s="59">
        <f t="shared" si="10"/>
        <v>42.82</v>
      </c>
      <c r="Z28" s="59">
        <f t="shared" si="10"/>
        <v>45.71</v>
      </c>
      <c r="AA28" s="59">
        <f t="shared" si="10"/>
        <v>50.37</v>
      </c>
      <c r="AB28" s="59">
        <f t="shared" si="10"/>
        <v>55.62</v>
      </c>
      <c r="AE28" s="54"/>
      <c r="AF28" s="53"/>
      <c r="AG28" s="53"/>
      <c r="AH28" s="53"/>
      <c r="AI28" s="53"/>
      <c r="AJ28" s="53"/>
      <c r="AK28" s="53"/>
    </row>
    <row r="29" spans="1:37">
      <c r="A29" s="43">
        <v>2</v>
      </c>
      <c r="B29" s="43"/>
      <c r="C29" s="22">
        <v>4464</v>
      </c>
      <c r="D29" s="21">
        <v>4809</v>
      </c>
      <c r="E29" s="22">
        <v>5228</v>
      </c>
      <c r="F29" s="21">
        <v>5645</v>
      </c>
      <c r="G29" s="21">
        <v>6222</v>
      </c>
      <c r="H29" s="21">
        <v>6640</v>
      </c>
      <c r="I29" s="21">
        <v>7150</v>
      </c>
      <c r="J29" s="21">
        <v>7678</v>
      </c>
      <c r="K29" s="21">
        <v>8449</v>
      </c>
      <c r="L29" s="22">
        <v>9312</v>
      </c>
      <c r="M29" s="7"/>
      <c r="N29" s="32"/>
      <c r="O29" s="31"/>
      <c r="P29" s="31"/>
      <c r="Q29" s="43">
        <v>1</v>
      </c>
      <c r="R29" s="43"/>
      <c r="S29" s="59">
        <f t="shared" ref="S29:S39" si="11">ROUNDUP(C28/156,2)</f>
        <v>27.560000000000002</v>
      </c>
      <c r="T29" s="59">
        <f t="shared" si="10"/>
        <v>29.73</v>
      </c>
      <c r="U29" s="59">
        <f t="shared" si="10"/>
        <v>32.419999999999995</v>
      </c>
      <c r="V29" s="59">
        <f t="shared" si="10"/>
        <v>35.1</v>
      </c>
      <c r="W29" s="59">
        <f t="shared" si="10"/>
        <v>38.809999999999995</v>
      </c>
      <c r="X29" s="59">
        <f t="shared" si="10"/>
        <v>41.26</v>
      </c>
      <c r="Y29" s="59">
        <f t="shared" si="10"/>
        <v>44.33</v>
      </c>
      <c r="Z29" s="59">
        <f t="shared" si="10"/>
        <v>47.47</v>
      </c>
      <c r="AA29" s="59">
        <f t="shared" si="10"/>
        <v>52.269999999999996</v>
      </c>
      <c r="AB29" s="59">
        <f t="shared" si="10"/>
        <v>57.669999999999995</v>
      </c>
      <c r="AE29" s="54"/>
      <c r="AF29" s="53"/>
      <c r="AG29" s="53"/>
      <c r="AH29" s="53"/>
      <c r="AI29" s="53"/>
      <c r="AJ29" s="53"/>
      <c r="AK29" s="53"/>
    </row>
    <row r="30" spans="1:37">
      <c r="A30" s="43">
        <v>3</v>
      </c>
      <c r="B30" s="43"/>
      <c r="C30" s="22">
        <v>4630</v>
      </c>
      <c r="D30" s="21">
        <v>4981</v>
      </c>
      <c r="E30" s="22">
        <v>5399</v>
      </c>
      <c r="F30" s="21">
        <v>5814</v>
      </c>
      <c r="G30" s="21">
        <v>6390</v>
      </c>
      <c r="H30" s="21">
        <v>6843</v>
      </c>
      <c r="I30" s="21">
        <v>7385</v>
      </c>
      <c r="J30" s="21">
        <v>7953</v>
      </c>
      <c r="K30" s="21">
        <v>8745</v>
      </c>
      <c r="L30" s="22">
        <v>9631</v>
      </c>
      <c r="M30" s="7"/>
      <c r="N30" s="32"/>
      <c r="O30" s="31"/>
      <c r="P30" s="31"/>
      <c r="Q30" s="43">
        <v>2</v>
      </c>
      <c r="R30" s="43"/>
      <c r="S30" s="59">
        <f t="shared" si="11"/>
        <v>28.62</v>
      </c>
      <c r="T30" s="59">
        <f t="shared" si="10"/>
        <v>30.830000000000002</v>
      </c>
      <c r="U30" s="59">
        <f t="shared" si="10"/>
        <v>33.519999999999996</v>
      </c>
      <c r="V30" s="59">
        <f t="shared" si="10"/>
        <v>36.19</v>
      </c>
      <c r="W30" s="59">
        <f t="shared" si="10"/>
        <v>39.89</v>
      </c>
      <c r="X30" s="59">
        <f t="shared" si="10"/>
        <v>42.57</v>
      </c>
      <c r="Y30" s="59">
        <f t="shared" si="10"/>
        <v>45.839999999999996</v>
      </c>
      <c r="Z30" s="59">
        <f t="shared" si="10"/>
        <v>49.22</v>
      </c>
      <c r="AA30" s="59">
        <f t="shared" si="10"/>
        <v>54.169999999999995</v>
      </c>
      <c r="AB30" s="59">
        <f t="shared" si="10"/>
        <v>59.699999999999996</v>
      </c>
      <c r="AE30" s="54"/>
      <c r="AF30" s="53"/>
      <c r="AG30" s="53"/>
      <c r="AH30" s="53"/>
      <c r="AI30" s="53"/>
      <c r="AJ30" s="53"/>
      <c r="AK30" s="53"/>
    </row>
    <row r="31" spans="1:37">
      <c r="A31" s="43">
        <v>4</v>
      </c>
      <c r="B31" s="43"/>
      <c r="C31" s="22">
        <v>4795</v>
      </c>
      <c r="D31" s="21">
        <v>5153</v>
      </c>
      <c r="E31" s="22">
        <v>5570</v>
      </c>
      <c r="F31" s="21">
        <v>5982</v>
      </c>
      <c r="G31" s="21">
        <v>6559</v>
      </c>
      <c r="H31" s="21">
        <v>7047</v>
      </c>
      <c r="I31" s="21">
        <v>7621</v>
      </c>
      <c r="J31" s="21">
        <v>8227</v>
      </c>
      <c r="K31" s="21">
        <v>9041</v>
      </c>
      <c r="L31" s="22">
        <v>9948</v>
      </c>
      <c r="M31" s="7"/>
      <c r="N31" s="32"/>
      <c r="O31" s="31"/>
      <c r="P31" s="31"/>
      <c r="Q31" s="43">
        <v>3</v>
      </c>
      <c r="R31" s="43"/>
      <c r="S31" s="59">
        <f t="shared" si="11"/>
        <v>29.680000000000003</v>
      </c>
      <c r="T31" s="59">
        <f t="shared" si="10"/>
        <v>31.930000000000003</v>
      </c>
      <c r="U31" s="59">
        <f t="shared" si="10"/>
        <v>34.61</v>
      </c>
      <c r="V31" s="59">
        <f t="shared" si="10"/>
        <v>37.269999999999996</v>
      </c>
      <c r="W31" s="59">
        <f t="shared" si="10"/>
        <v>40.97</v>
      </c>
      <c r="X31" s="59">
        <f t="shared" si="10"/>
        <v>43.87</v>
      </c>
      <c r="Y31" s="59">
        <f t="shared" si="10"/>
        <v>47.339999999999996</v>
      </c>
      <c r="Z31" s="59">
        <f t="shared" si="10"/>
        <v>50.989999999999995</v>
      </c>
      <c r="AA31" s="59">
        <f t="shared" si="10"/>
        <v>56.059999999999995</v>
      </c>
      <c r="AB31" s="59">
        <f t="shared" si="10"/>
        <v>61.739999999999995</v>
      </c>
      <c r="AE31" s="52"/>
      <c r="AF31" s="53"/>
      <c r="AG31" s="53"/>
      <c r="AH31" s="53"/>
      <c r="AI31" s="53"/>
      <c r="AJ31" s="53"/>
      <c r="AK31" s="53"/>
    </row>
    <row r="32" spans="1:37">
      <c r="A32" s="43">
        <v>5</v>
      </c>
      <c r="B32" s="43"/>
      <c r="C32" s="22">
        <v>4961</v>
      </c>
      <c r="D32" s="21">
        <v>5325</v>
      </c>
      <c r="E32" s="22">
        <v>5739</v>
      </c>
      <c r="F32" s="21">
        <v>6151</v>
      </c>
      <c r="G32" s="21">
        <v>6728</v>
      </c>
      <c r="H32" s="21">
        <v>7251</v>
      </c>
      <c r="I32" s="21">
        <v>7856</v>
      </c>
      <c r="J32" s="21">
        <v>8501</v>
      </c>
      <c r="K32" s="21">
        <v>9336</v>
      </c>
      <c r="L32" s="22">
        <v>10267</v>
      </c>
      <c r="M32" s="7"/>
      <c r="N32" s="30"/>
      <c r="O32" s="31"/>
      <c r="P32" s="31"/>
      <c r="Q32" s="43">
        <v>4</v>
      </c>
      <c r="R32" s="43"/>
      <c r="S32" s="59">
        <f t="shared" si="11"/>
        <v>30.740000000000002</v>
      </c>
      <c r="T32" s="59">
        <f t="shared" si="10"/>
        <v>33.04</v>
      </c>
      <c r="U32" s="59">
        <f t="shared" si="10"/>
        <v>35.71</v>
      </c>
      <c r="V32" s="59">
        <f t="shared" si="10"/>
        <v>38.35</v>
      </c>
      <c r="W32" s="59">
        <f t="shared" si="10"/>
        <v>42.05</v>
      </c>
      <c r="X32" s="59">
        <f t="shared" si="10"/>
        <v>45.18</v>
      </c>
      <c r="Y32" s="59">
        <f t="shared" si="10"/>
        <v>48.86</v>
      </c>
      <c r="Z32" s="59">
        <f t="shared" si="10"/>
        <v>52.739999999999995</v>
      </c>
      <c r="AA32" s="59">
        <f t="shared" si="10"/>
        <v>57.96</v>
      </c>
      <c r="AB32" s="59">
        <f t="shared" si="10"/>
        <v>63.769999999999996</v>
      </c>
      <c r="AE32" s="52"/>
      <c r="AF32" s="53"/>
      <c r="AG32" s="53"/>
      <c r="AH32" s="53"/>
      <c r="AI32" s="53"/>
      <c r="AJ32" s="53"/>
      <c r="AK32" s="53"/>
    </row>
    <row r="33" spans="1:37">
      <c r="A33" s="43">
        <v>6</v>
      </c>
      <c r="B33" s="43"/>
      <c r="C33" s="22">
        <v>5126</v>
      </c>
      <c r="D33" s="21">
        <v>5498</v>
      </c>
      <c r="E33" s="22">
        <v>5908</v>
      </c>
      <c r="F33" s="21">
        <v>6319</v>
      </c>
      <c r="G33" s="21">
        <v>6897</v>
      </c>
      <c r="H33" s="21">
        <v>7455</v>
      </c>
      <c r="I33" s="21">
        <v>8092</v>
      </c>
      <c r="J33" s="21">
        <v>8776</v>
      </c>
      <c r="K33" s="21">
        <v>9632</v>
      </c>
      <c r="L33" s="22">
        <v>10584</v>
      </c>
      <c r="M33" s="7"/>
      <c r="N33" s="30"/>
      <c r="O33" s="31"/>
      <c r="P33" s="31"/>
      <c r="Q33" s="43">
        <v>5</v>
      </c>
      <c r="R33" s="43"/>
      <c r="S33" s="59">
        <f t="shared" si="11"/>
        <v>31.810000000000002</v>
      </c>
      <c r="T33" s="59">
        <f t="shared" si="10"/>
        <v>34.14</v>
      </c>
      <c r="U33" s="59">
        <f t="shared" si="10"/>
        <v>36.79</v>
      </c>
      <c r="V33" s="59">
        <f t="shared" si="10"/>
        <v>39.43</v>
      </c>
      <c r="W33" s="59">
        <f t="shared" si="10"/>
        <v>43.129999999999995</v>
      </c>
      <c r="X33" s="59">
        <f t="shared" si="10"/>
        <v>46.489999999999995</v>
      </c>
      <c r="Y33" s="59">
        <f t="shared" si="10"/>
        <v>50.36</v>
      </c>
      <c r="Z33" s="59">
        <f t="shared" si="10"/>
        <v>54.5</v>
      </c>
      <c r="AA33" s="59">
        <f t="shared" si="10"/>
        <v>59.85</v>
      </c>
      <c r="AB33" s="59">
        <f t="shared" si="10"/>
        <v>65.820000000000007</v>
      </c>
      <c r="AE33" s="52"/>
      <c r="AF33" s="53"/>
      <c r="AG33" s="53"/>
      <c r="AH33" s="53"/>
      <c r="AI33" s="53"/>
      <c r="AJ33" s="53"/>
      <c r="AK33" s="53"/>
    </row>
    <row r="34" spans="1:37">
      <c r="A34" s="43">
        <v>7</v>
      </c>
      <c r="B34" s="43"/>
      <c r="C34" s="22">
        <v>5292</v>
      </c>
      <c r="D34" s="21">
        <v>5667</v>
      </c>
      <c r="E34" s="22">
        <v>6077</v>
      </c>
      <c r="F34" s="21">
        <v>6488</v>
      </c>
      <c r="G34" s="21">
        <v>7066</v>
      </c>
      <c r="H34" s="21">
        <v>7659</v>
      </c>
      <c r="I34" s="21">
        <v>8328</v>
      </c>
      <c r="J34" s="21">
        <v>9050</v>
      </c>
      <c r="K34" s="21">
        <v>9928</v>
      </c>
      <c r="L34" s="22">
        <v>10903</v>
      </c>
      <c r="M34" s="7"/>
      <c r="N34" s="30"/>
      <c r="O34" s="31"/>
      <c r="P34" s="31"/>
      <c r="Q34" s="43">
        <v>6</v>
      </c>
      <c r="R34" s="43"/>
      <c r="S34" s="59">
        <f t="shared" si="11"/>
        <v>32.86</v>
      </c>
      <c r="T34" s="59">
        <f t="shared" si="10"/>
        <v>35.25</v>
      </c>
      <c r="U34" s="59">
        <f t="shared" si="10"/>
        <v>37.879999999999995</v>
      </c>
      <c r="V34" s="59">
        <f t="shared" si="10"/>
        <v>40.51</v>
      </c>
      <c r="W34" s="59">
        <f t="shared" si="10"/>
        <v>44.22</v>
      </c>
      <c r="X34" s="59">
        <f t="shared" si="10"/>
        <v>47.79</v>
      </c>
      <c r="Y34" s="59">
        <f t="shared" si="10"/>
        <v>51.879999999999995</v>
      </c>
      <c r="Z34" s="59">
        <f t="shared" si="10"/>
        <v>56.26</v>
      </c>
      <c r="AA34" s="59">
        <f t="shared" si="10"/>
        <v>61.75</v>
      </c>
      <c r="AB34" s="59">
        <f t="shared" si="10"/>
        <v>67.850000000000009</v>
      </c>
    </row>
    <row r="35" spans="1:37">
      <c r="A35" s="43">
        <v>8</v>
      </c>
      <c r="B35" s="43"/>
      <c r="C35" s="22">
        <v>5458</v>
      </c>
      <c r="D35" s="21">
        <v>5836</v>
      </c>
      <c r="E35" s="22">
        <v>6246</v>
      </c>
      <c r="F35" s="21">
        <v>6657</v>
      </c>
      <c r="G35" s="21">
        <v>7234</v>
      </c>
      <c r="H35" s="21">
        <v>7863</v>
      </c>
      <c r="I35" s="21">
        <v>8563</v>
      </c>
      <c r="J35" s="21">
        <v>9324</v>
      </c>
      <c r="K35" s="21">
        <v>10224</v>
      </c>
      <c r="L35" s="22">
        <v>11220</v>
      </c>
      <c r="M35" s="7"/>
      <c r="N35" s="33"/>
      <c r="O35" s="33"/>
      <c r="P35" s="33"/>
      <c r="Q35" s="43">
        <v>7</v>
      </c>
      <c r="R35" s="43"/>
      <c r="S35" s="59">
        <f t="shared" si="11"/>
        <v>33.93</v>
      </c>
      <c r="T35" s="59">
        <f t="shared" si="10"/>
        <v>36.33</v>
      </c>
      <c r="U35" s="59">
        <f t="shared" si="10"/>
        <v>38.96</v>
      </c>
      <c r="V35" s="59">
        <f t="shared" si="10"/>
        <v>41.589999999999996</v>
      </c>
      <c r="W35" s="59">
        <f t="shared" si="10"/>
        <v>45.3</v>
      </c>
      <c r="X35" s="59">
        <f t="shared" si="10"/>
        <v>49.1</v>
      </c>
      <c r="Y35" s="59">
        <f t="shared" si="10"/>
        <v>53.39</v>
      </c>
      <c r="Z35" s="59">
        <f t="shared" si="10"/>
        <v>58.019999999999996</v>
      </c>
      <c r="AA35" s="59">
        <f t="shared" si="10"/>
        <v>63.65</v>
      </c>
      <c r="AB35" s="59">
        <f t="shared" si="10"/>
        <v>69.900000000000006</v>
      </c>
    </row>
    <row r="36" spans="1:37">
      <c r="A36" s="43">
        <v>9</v>
      </c>
      <c r="B36" s="43"/>
      <c r="C36" s="22">
        <v>5622</v>
      </c>
      <c r="D36" s="21">
        <v>6005</v>
      </c>
      <c r="E36" s="22">
        <v>6414</v>
      </c>
      <c r="F36" s="21">
        <v>6826</v>
      </c>
      <c r="G36" s="21">
        <v>7402</v>
      </c>
      <c r="H36" s="21">
        <v>8066</v>
      </c>
      <c r="I36" s="21">
        <v>8798</v>
      </c>
      <c r="J36" s="21">
        <v>9599</v>
      </c>
      <c r="K36" s="21">
        <v>10520</v>
      </c>
      <c r="L36" s="22">
        <v>11539</v>
      </c>
      <c r="M36" s="7"/>
      <c r="Q36" s="43">
        <v>8</v>
      </c>
      <c r="R36" s="43"/>
      <c r="S36" s="59">
        <f t="shared" si="11"/>
        <v>34.989999999999995</v>
      </c>
      <c r="T36" s="59">
        <f t="shared" si="10"/>
        <v>37.419999999999995</v>
      </c>
      <c r="U36" s="59">
        <f t="shared" si="10"/>
        <v>40.04</v>
      </c>
      <c r="V36" s="59">
        <f t="shared" si="10"/>
        <v>42.68</v>
      </c>
      <c r="W36" s="59">
        <f t="shared" si="10"/>
        <v>46.379999999999995</v>
      </c>
      <c r="X36" s="59">
        <f t="shared" si="10"/>
        <v>50.41</v>
      </c>
      <c r="Y36" s="59">
        <f t="shared" si="10"/>
        <v>54.9</v>
      </c>
      <c r="Z36" s="59">
        <f t="shared" si="10"/>
        <v>59.769999999999996</v>
      </c>
      <c r="AA36" s="59">
        <f t="shared" si="10"/>
        <v>65.540000000000006</v>
      </c>
      <c r="AB36" s="59">
        <f t="shared" si="10"/>
        <v>71.930000000000007</v>
      </c>
    </row>
    <row r="37" spans="1:37">
      <c r="A37" s="43">
        <v>10</v>
      </c>
      <c r="B37" s="43"/>
      <c r="C37" s="22">
        <v>5784</v>
      </c>
      <c r="D37" s="21">
        <v>6174</v>
      </c>
      <c r="E37" s="22">
        <v>6582</v>
      </c>
      <c r="F37" s="21">
        <v>6995</v>
      </c>
      <c r="G37" s="21">
        <v>7571</v>
      </c>
      <c r="H37" s="21">
        <v>8270</v>
      </c>
      <c r="I37" s="21">
        <v>9034</v>
      </c>
      <c r="J37" s="21">
        <v>9873</v>
      </c>
      <c r="K37" s="21">
        <v>10816</v>
      </c>
      <c r="L37" s="22">
        <v>11856</v>
      </c>
      <c r="M37" s="7"/>
      <c r="Q37" s="43">
        <v>9</v>
      </c>
      <c r="R37" s="43"/>
      <c r="S37" s="59">
        <f t="shared" si="11"/>
        <v>36.04</v>
      </c>
      <c r="T37" s="59">
        <f t="shared" si="10"/>
        <v>38.5</v>
      </c>
      <c r="U37" s="59">
        <f t="shared" si="10"/>
        <v>41.12</v>
      </c>
      <c r="V37" s="59">
        <f t="shared" si="10"/>
        <v>43.76</v>
      </c>
      <c r="W37" s="59">
        <f t="shared" si="10"/>
        <v>47.449999999999996</v>
      </c>
      <c r="X37" s="59">
        <f t="shared" si="10"/>
        <v>51.71</v>
      </c>
      <c r="Y37" s="59">
        <f t="shared" si="10"/>
        <v>56.4</v>
      </c>
      <c r="Z37" s="59">
        <f t="shared" si="10"/>
        <v>61.54</v>
      </c>
      <c r="AA37" s="59">
        <f t="shared" si="10"/>
        <v>67.440000000000012</v>
      </c>
      <c r="AB37" s="59">
        <f t="shared" si="10"/>
        <v>73.97</v>
      </c>
    </row>
    <row r="38" spans="1:37">
      <c r="A38" s="43">
        <v>11</v>
      </c>
      <c r="B38" s="43"/>
      <c r="C38" s="22">
        <v>5947</v>
      </c>
      <c r="D38" s="21">
        <v>6343</v>
      </c>
      <c r="E38" s="22">
        <v>6751</v>
      </c>
      <c r="F38" s="21">
        <v>7163</v>
      </c>
      <c r="G38" s="21">
        <v>7740</v>
      </c>
      <c r="H38" s="21">
        <v>8474</v>
      </c>
      <c r="I38" s="21">
        <v>9270</v>
      </c>
      <c r="J38" s="21">
        <v>10147</v>
      </c>
      <c r="K38" s="21">
        <v>11112</v>
      </c>
      <c r="L38" s="22">
        <v>12175</v>
      </c>
      <c r="M38" s="7"/>
      <c r="Q38" s="43">
        <v>10</v>
      </c>
      <c r="R38" s="43"/>
      <c r="S38" s="59">
        <f t="shared" si="11"/>
        <v>37.08</v>
      </c>
      <c r="T38" s="59">
        <f t="shared" si="10"/>
        <v>39.58</v>
      </c>
      <c r="U38" s="59">
        <f t="shared" si="10"/>
        <v>42.199999999999996</v>
      </c>
      <c r="V38" s="59">
        <f t="shared" si="10"/>
        <v>44.839999999999996</v>
      </c>
      <c r="W38" s="59">
        <f t="shared" si="10"/>
        <v>48.54</v>
      </c>
      <c r="X38" s="59">
        <f t="shared" si="10"/>
        <v>53.019999999999996</v>
      </c>
      <c r="Y38" s="59">
        <f t="shared" si="10"/>
        <v>57.919999999999995</v>
      </c>
      <c r="Z38" s="59">
        <f t="shared" si="10"/>
        <v>63.29</v>
      </c>
      <c r="AA38" s="59">
        <f t="shared" si="10"/>
        <v>69.34</v>
      </c>
      <c r="AB38" s="59">
        <f t="shared" si="10"/>
        <v>76</v>
      </c>
    </row>
    <row r="39" spans="1:37">
      <c r="Q39" s="43">
        <v>11</v>
      </c>
      <c r="R39" s="43"/>
      <c r="S39" s="59">
        <f t="shared" si="11"/>
        <v>38.129999999999995</v>
      </c>
      <c r="T39" s="59">
        <f t="shared" si="10"/>
        <v>40.669999999999995</v>
      </c>
      <c r="U39" s="59">
        <f t="shared" si="10"/>
        <v>43.28</v>
      </c>
      <c r="V39" s="59">
        <f t="shared" si="10"/>
        <v>45.919999999999995</v>
      </c>
      <c r="W39" s="59">
        <f t="shared" si="10"/>
        <v>49.62</v>
      </c>
      <c r="X39" s="59">
        <f t="shared" si="10"/>
        <v>54.33</v>
      </c>
      <c r="Y39" s="59">
        <f t="shared" si="10"/>
        <v>59.43</v>
      </c>
      <c r="Z39" s="59">
        <f t="shared" si="10"/>
        <v>65.050000000000011</v>
      </c>
      <c r="AA39" s="59">
        <f t="shared" si="10"/>
        <v>71.240000000000009</v>
      </c>
      <c r="AB39" s="59">
        <f t="shared" si="10"/>
        <v>78.050000000000011</v>
      </c>
    </row>
    <row r="46" spans="1:37">
      <c r="A46" s="46" t="s">
        <v>45</v>
      </c>
    </row>
    <row r="47" spans="1:37" ht="28">
      <c r="A47" s="47" t="s">
        <v>46</v>
      </c>
      <c r="B47" s="60">
        <v>5</v>
      </c>
      <c r="C47" s="55">
        <v>6</v>
      </c>
      <c r="D47" s="55">
        <v>7</v>
      </c>
      <c r="E47" s="60">
        <v>8</v>
      </c>
      <c r="F47" s="60">
        <v>9</v>
      </c>
      <c r="G47" s="55">
        <v>10</v>
      </c>
      <c r="R47" t="s">
        <v>39</v>
      </c>
    </row>
    <row r="48" spans="1:37">
      <c r="A48" s="56" t="s">
        <v>47</v>
      </c>
      <c r="B48" s="61">
        <v>2598</v>
      </c>
      <c r="C48" s="57">
        <v>2645</v>
      </c>
      <c r="D48" s="57">
        <v>2695</v>
      </c>
      <c r="E48" s="61">
        <v>2758</v>
      </c>
      <c r="F48" s="61">
        <v>3084</v>
      </c>
      <c r="G48" s="57">
        <v>3555</v>
      </c>
    </row>
    <row r="49" spans="1:15">
      <c r="A49" s="56" t="s">
        <v>48</v>
      </c>
      <c r="B49" s="61">
        <v>0</v>
      </c>
      <c r="C49" s="57">
        <v>2758</v>
      </c>
      <c r="D49" s="57">
        <v>2831</v>
      </c>
      <c r="E49" s="61">
        <v>2918</v>
      </c>
      <c r="F49" s="61">
        <v>3244</v>
      </c>
      <c r="G49" s="57">
        <v>3707</v>
      </c>
      <c r="N49" s="39" t="s">
        <v>42</v>
      </c>
      <c r="O49" s="39">
        <v>14.71</v>
      </c>
    </row>
    <row r="50" spans="1:15">
      <c r="A50" s="56" t="s">
        <v>49</v>
      </c>
      <c r="B50" s="61">
        <v>0</v>
      </c>
      <c r="C50" s="57">
        <v>0</v>
      </c>
      <c r="D50" s="57">
        <v>0</v>
      </c>
      <c r="E50" s="61">
        <v>3084</v>
      </c>
      <c r="F50" s="61">
        <v>3399</v>
      </c>
      <c r="G50" s="57">
        <v>3870</v>
      </c>
      <c r="N50" s="39"/>
      <c r="O50" s="39"/>
    </row>
    <row r="51" spans="1:15">
      <c r="A51" s="58">
        <v>0</v>
      </c>
      <c r="B51" s="61">
        <v>2695</v>
      </c>
      <c r="C51" s="57">
        <v>2918</v>
      </c>
      <c r="D51" s="57">
        <v>3003</v>
      </c>
      <c r="E51" s="61">
        <v>3244</v>
      </c>
      <c r="F51" s="61">
        <v>3555</v>
      </c>
      <c r="G51" s="57">
        <v>3955</v>
      </c>
      <c r="N51" s="39" t="s">
        <v>41</v>
      </c>
      <c r="O51" s="39"/>
    </row>
    <row r="52" spans="1:15">
      <c r="A52" s="58">
        <v>1</v>
      </c>
      <c r="B52" s="61">
        <v>2758</v>
      </c>
      <c r="C52" s="57">
        <v>3003</v>
      </c>
      <c r="D52" s="57">
        <v>3084</v>
      </c>
      <c r="E52" s="61">
        <v>3322</v>
      </c>
      <c r="F52" s="61">
        <v>3633</v>
      </c>
      <c r="G52" s="57">
        <v>4051</v>
      </c>
      <c r="N52" s="39">
        <v>0</v>
      </c>
      <c r="O52" s="40">
        <v>14.71</v>
      </c>
    </row>
    <row r="53" spans="1:15">
      <c r="A53" s="58">
        <v>2</v>
      </c>
      <c r="B53" s="61">
        <v>2831</v>
      </c>
      <c r="C53" s="57">
        <v>3084</v>
      </c>
      <c r="D53" s="57">
        <v>3166</v>
      </c>
      <c r="E53" s="61">
        <v>3399</v>
      </c>
      <c r="F53" s="61">
        <v>3707</v>
      </c>
      <c r="G53" s="57">
        <v>4140</v>
      </c>
      <c r="N53" s="39">
        <v>1</v>
      </c>
      <c r="O53" s="40">
        <f>O52*1.018</f>
        <v>14.974780000000001</v>
      </c>
    </row>
    <row r="54" spans="1:15">
      <c r="A54" s="58">
        <v>3</v>
      </c>
      <c r="B54" s="61">
        <v>2918</v>
      </c>
      <c r="C54" s="57">
        <v>3166</v>
      </c>
      <c r="D54" s="57">
        <v>3244</v>
      </c>
      <c r="E54" s="61">
        <v>3475</v>
      </c>
      <c r="F54" s="61">
        <v>3788</v>
      </c>
      <c r="G54" s="57">
        <v>4216</v>
      </c>
      <c r="N54" s="39">
        <v>2</v>
      </c>
      <c r="O54" s="40">
        <f>O52*1.036</f>
        <v>15.239560000000001</v>
      </c>
    </row>
    <row r="55" spans="1:15">
      <c r="A55" s="58">
        <v>4</v>
      </c>
      <c r="B55" s="61">
        <v>3003</v>
      </c>
      <c r="C55" s="57">
        <v>3244</v>
      </c>
      <c r="D55" s="57">
        <v>3322</v>
      </c>
      <c r="E55" s="61">
        <v>3555</v>
      </c>
      <c r="F55" s="61">
        <v>3870</v>
      </c>
      <c r="G55" s="57">
        <v>4300</v>
      </c>
      <c r="N55" s="39">
        <v>3</v>
      </c>
      <c r="O55" s="40">
        <f>O52*1.055</f>
        <v>15.51905</v>
      </c>
    </row>
    <row r="56" spans="1:15">
      <c r="A56" s="58">
        <v>5</v>
      </c>
      <c r="B56" s="61">
        <v>3084</v>
      </c>
      <c r="C56" s="57">
        <v>3322</v>
      </c>
      <c r="D56" s="57">
        <v>3399</v>
      </c>
      <c r="E56" s="61">
        <v>3633</v>
      </c>
      <c r="F56" s="61">
        <v>3955</v>
      </c>
      <c r="G56" s="57">
        <v>4385</v>
      </c>
      <c r="N56" s="39">
        <v>4</v>
      </c>
      <c r="O56" s="40">
        <f>O52*1.073</f>
        <v>15.78383</v>
      </c>
    </row>
    <row r="57" spans="1:15">
      <c r="A57" s="58">
        <v>6</v>
      </c>
      <c r="B57" s="61">
        <v>3166</v>
      </c>
      <c r="C57" s="57">
        <v>3399</v>
      </c>
      <c r="D57" s="57">
        <v>3475</v>
      </c>
      <c r="E57" s="61">
        <v>3707</v>
      </c>
      <c r="F57" s="61">
        <v>4051</v>
      </c>
      <c r="G57" s="57">
        <v>4466</v>
      </c>
      <c r="N57" s="39">
        <v>5</v>
      </c>
      <c r="O57" s="40">
        <f>O52*1.091</f>
        <v>16.04861</v>
      </c>
    </row>
    <row r="58" spans="1:15">
      <c r="A58" s="58">
        <v>7</v>
      </c>
      <c r="B58" s="61">
        <v>3244</v>
      </c>
      <c r="C58" s="57">
        <v>3475</v>
      </c>
      <c r="D58" s="57">
        <v>3555</v>
      </c>
      <c r="E58" s="61">
        <v>3788</v>
      </c>
      <c r="F58" s="61">
        <v>4140</v>
      </c>
      <c r="G58" s="57">
        <v>4539</v>
      </c>
      <c r="N58" s="39">
        <v>6</v>
      </c>
      <c r="O58" s="40">
        <f>O52*1.109</f>
        <v>16.313390000000002</v>
      </c>
    </row>
    <row r="59" spans="1:15">
      <c r="A59" s="58">
        <v>8</v>
      </c>
      <c r="B59" s="61">
        <v>3322</v>
      </c>
      <c r="C59" s="57">
        <v>3555</v>
      </c>
      <c r="D59" s="57">
        <v>3633</v>
      </c>
      <c r="E59" s="61">
        <v>3870</v>
      </c>
      <c r="F59" s="61">
        <v>4216</v>
      </c>
      <c r="G59" s="57">
        <v>4613</v>
      </c>
      <c r="N59" s="39">
        <v>7</v>
      </c>
      <c r="O59" s="40">
        <f>O52*1.127</f>
        <v>16.57817</v>
      </c>
    </row>
    <row r="60" spans="1:15">
      <c r="A60" s="58">
        <v>9</v>
      </c>
      <c r="B60" s="61">
        <v>3399</v>
      </c>
      <c r="C60" s="57">
        <v>3633</v>
      </c>
      <c r="D60" s="57">
        <v>3707</v>
      </c>
      <c r="E60" s="61">
        <v>3955</v>
      </c>
      <c r="F60" s="61">
        <v>4300</v>
      </c>
      <c r="G60" s="57">
        <v>4688</v>
      </c>
      <c r="N60" s="39">
        <v>8</v>
      </c>
      <c r="O60" s="40">
        <f>O52*1.145</f>
        <v>16.842950000000002</v>
      </c>
    </row>
    <row r="61" spans="1:15">
      <c r="A61" s="58">
        <v>10</v>
      </c>
      <c r="B61" s="61">
        <v>3475</v>
      </c>
      <c r="C61" s="57">
        <v>3707</v>
      </c>
      <c r="D61" s="57">
        <v>3788</v>
      </c>
      <c r="E61" s="61">
        <v>4051</v>
      </c>
      <c r="F61" s="61">
        <v>4385</v>
      </c>
      <c r="G61" s="57">
        <v>4764</v>
      </c>
      <c r="N61" s="39">
        <v>9</v>
      </c>
      <c r="O61" s="40">
        <f>O52*1.164</f>
        <v>17.122440000000001</v>
      </c>
    </row>
    <row r="62" spans="1:15">
      <c r="A62" s="58">
        <v>11</v>
      </c>
      <c r="B62" s="61">
        <v>0</v>
      </c>
      <c r="C62" s="57">
        <v>3788</v>
      </c>
      <c r="D62" s="57">
        <v>3870</v>
      </c>
      <c r="E62" s="61">
        <v>4140</v>
      </c>
      <c r="F62" s="61">
        <v>4466</v>
      </c>
      <c r="G62" s="57">
        <v>4848</v>
      </c>
      <c r="N62" s="39">
        <v>10</v>
      </c>
      <c r="O62" s="40">
        <f>O52*1.182</f>
        <v>17.387219999999999</v>
      </c>
    </row>
    <row r="63" spans="1:15">
      <c r="A63" s="58">
        <v>12</v>
      </c>
      <c r="B63" s="61">
        <v>0</v>
      </c>
      <c r="C63" s="57">
        <v>0</v>
      </c>
      <c r="D63" s="57">
        <v>3955</v>
      </c>
      <c r="E63" s="61">
        <v>4216</v>
      </c>
      <c r="F63" s="61">
        <v>4539</v>
      </c>
      <c r="G63" s="57">
        <v>4931</v>
      </c>
      <c r="N63" s="39">
        <v>11</v>
      </c>
      <c r="O63" s="40">
        <f>O52*1.2</f>
        <v>17.652000000000001</v>
      </c>
    </row>
    <row r="64" spans="1:15">
      <c r="A64" s="58">
        <v>13</v>
      </c>
      <c r="B64" s="61">
        <v>0</v>
      </c>
      <c r="C64" s="57">
        <v>0</v>
      </c>
      <c r="D64" s="57">
        <v>4051</v>
      </c>
      <c r="E64" s="61">
        <v>4300</v>
      </c>
      <c r="F64" s="61">
        <v>4613</v>
      </c>
      <c r="G64" s="57">
        <v>5007</v>
      </c>
    </row>
    <row r="65" spans="1:7">
      <c r="A65" s="58">
        <v>14</v>
      </c>
      <c r="B65" s="61">
        <v>0</v>
      </c>
      <c r="C65" s="57">
        <v>0</v>
      </c>
      <c r="D65" s="57">
        <v>4140</v>
      </c>
      <c r="E65" s="61">
        <v>4385</v>
      </c>
      <c r="F65" s="61">
        <v>4688</v>
      </c>
      <c r="G65" s="57">
        <v>5079</v>
      </c>
    </row>
    <row r="66" spans="1:7">
      <c r="A66" s="58">
        <v>15</v>
      </c>
      <c r="B66" s="61">
        <v>0</v>
      </c>
      <c r="C66" s="57">
        <v>0</v>
      </c>
      <c r="D66" s="57">
        <v>4216</v>
      </c>
      <c r="E66" s="61">
        <v>4466</v>
      </c>
      <c r="F66" s="61">
        <v>4764</v>
      </c>
      <c r="G66" s="57">
        <v>5150</v>
      </c>
    </row>
    <row r="67" spans="1:7">
      <c r="A67" s="56" t="s">
        <v>50</v>
      </c>
      <c r="B67" s="61">
        <v>3633</v>
      </c>
      <c r="C67" s="57">
        <v>3955</v>
      </c>
      <c r="D67" s="57">
        <v>4385</v>
      </c>
      <c r="E67" s="61">
        <v>4688</v>
      </c>
      <c r="F67" s="61">
        <v>4931</v>
      </c>
      <c r="G67" s="57">
        <v>5300</v>
      </c>
    </row>
    <row r="68" spans="1:7">
      <c r="A68" s="56" t="s">
        <v>51</v>
      </c>
      <c r="B68" s="61">
        <v>0</v>
      </c>
      <c r="C68" s="57">
        <v>4140</v>
      </c>
      <c r="D68" s="57">
        <v>4539</v>
      </c>
      <c r="E68" s="61">
        <v>4931</v>
      </c>
      <c r="F68" s="61">
        <v>5079</v>
      </c>
      <c r="G68" s="57">
        <v>5457</v>
      </c>
    </row>
    <row r="69" spans="1:7">
      <c r="A69" s="56" t="s">
        <v>52</v>
      </c>
      <c r="B69" s="61">
        <v>0</v>
      </c>
      <c r="C69" s="57">
        <v>0</v>
      </c>
      <c r="D69" s="57">
        <v>0</v>
      </c>
      <c r="E69" s="61">
        <v>5079</v>
      </c>
      <c r="F69" s="61">
        <v>5228</v>
      </c>
      <c r="G69" s="57">
        <v>5623</v>
      </c>
    </row>
    <row r="70" spans="1:7">
      <c r="A70" s="7"/>
      <c r="B70" s="7"/>
      <c r="C70" s="7"/>
      <c r="D70" s="7"/>
      <c r="E70" s="7"/>
      <c r="F70" s="7"/>
      <c r="G70" s="7"/>
    </row>
    <row r="74" spans="1:7">
      <c r="A74" t="s">
        <v>33</v>
      </c>
    </row>
    <row r="248" spans="5:5">
      <c r="E248" s="8">
        <v>3598</v>
      </c>
    </row>
    <row r="249" spans="5:5">
      <c r="E249" s="9"/>
    </row>
    <row r="250" spans="5:5">
      <c r="E250" s="9"/>
    </row>
    <row r="251" spans="5:5">
      <c r="E251" s="9"/>
    </row>
    <row r="252" spans="5:5">
      <c r="E252" s="9"/>
    </row>
    <row r="253" spans="5:5">
      <c r="E253" s="9"/>
    </row>
    <row r="254" spans="5:5">
      <c r="E254" s="9"/>
    </row>
    <row r="255" spans="5:5">
      <c r="E255" s="9"/>
    </row>
    <row r="256" spans="5:5">
      <c r="E256" s="9"/>
    </row>
    <row r="257" spans="5:5">
      <c r="E257" s="9"/>
    </row>
    <row r="258" spans="5:5">
      <c r="E258" s="9"/>
    </row>
    <row r="259" spans="5:5">
      <c r="E259" s="9"/>
    </row>
    <row r="260" spans="5:5">
      <c r="E260" s="9"/>
    </row>
    <row r="261" spans="5:5">
      <c r="E261" s="9"/>
    </row>
    <row r="262" spans="5:5">
      <c r="E262" s="9"/>
    </row>
    <row r="263" spans="5:5">
      <c r="E263" s="9"/>
    </row>
    <row r="264" spans="5:5">
      <c r="E264" s="9"/>
    </row>
    <row r="265" spans="5:5">
      <c r="E265" s="9"/>
    </row>
    <row r="266" spans="5:5">
      <c r="E266" s="9"/>
    </row>
    <row r="267" spans="5:5">
      <c r="E267" s="9"/>
    </row>
    <row r="268" spans="5:5">
      <c r="E268" s="9"/>
    </row>
    <row r="269" spans="5:5">
      <c r="E269" s="9"/>
    </row>
    <row r="270" spans="5:5">
      <c r="E270" s="9"/>
    </row>
    <row r="271" spans="5:5">
      <c r="E271" s="9"/>
    </row>
    <row r="272" spans="5:5">
      <c r="E272" s="9"/>
    </row>
    <row r="273" spans="5:5">
      <c r="E273" s="9"/>
    </row>
    <row r="274" spans="5:5">
      <c r="E274" s="9"/>
    </row>
    <row r="275" spans="5:5">
      <c r="E275" s="9"/>
    </row>
    <row r="276" spans="5:5">
      <c r="E276" s="9"/>
    </row>
    <row r="277" spans="5:5">
      <c r="E277" s="9"/>
    </row>
    <row r="278" spans="5:5">
      <c r="E278" s="9"/>
    </row>
    <row r="279" spans="5:5">
      <c r="E279" s="9"/>
    </row>
    <row r="280" spans="5:5">
      <c r="E280" s="9"/>
    </row>
    <row r="281" spans="5:5">
      <c r="E281" s="9"/>
    </row>
    <row r="282" spans="5:5">
      <c r="E282" s="9"/>
    </row>
    <row r="283" spans="5:5">
      <c r="E283" s="9"/>
    </row>
    <row r="284" spans="5:5">
      <c r="E284" s="9"/>
    </row>
    <row r="285" spans="5:5">
      <c r="E285" s="9"/>
    </row>
    <row r="286" spans="5:5">
      <c r="E286" s="9"/>
    </row>
    <row r="287" spans="5:5">
      <c r="E287" s="9"/>
    </row>
    <row r="288" spans="5:5">
      <c r="E288" s="9"/>
    </row>
    <row r="289" spans="5:5">
      <c r="E289" s="9"/>
    </row>
    <row r="290" spans="5:5">
      <c r="E290" s="9"/>
    </row>
    <row r="291" spans="5:5">
      <c r="E291" s="9"/>
    </row>
    <row r="292" spans="5:5">
      <c r="E292" s="9"/>
    </row>
  </sheetData>
  <mergeCells count="60">
    <mergeCell ref="Q39:R39"/>
    <mergeCell ref="Q34:R34"/>
    <mergeCell ref="Q35:R35"/>
    <mergeCell ref="Q36:R36"/>
    <mergeCell ref="Q37:R37"/>
    <mergeCell ref="Q38:R38"/>
    <mergeCell ref="Q29:R29"/>
    <mergeCell ref="Q30:R30"/>
    <mergeCell ref="Q31:R31"/>
    <mergeCell ref="Q32:R32"/>
    <mergeCell ref="Q33:R33"/>
    <mergeCell ref="Q24:R24"/>
    <mergeCell ref="Q26:R26"/>
    <mergeCell ref="S26:T26"/>
    <mergeCell ref="Q27:R27"/>
    <mergeCell ref="Q28:R28"/>
    <mergeCell ref="A35:B35"/>
    <mergeCell ref="A36:B36"/>
    <mergeCell ref="A37:B37"/>
    <mergeCell ref="A38:B38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A30:B30"/>
    <mergeCell ref="A31:B31"/>
    <mergeCell ref="A32:B32"/>
    <mergeCell ref="A33:B33"/>
    <mergeCell ref="A34:B34"/>
    <mergeCell ref="C25:D25"/>
    <mergeCell ref="A26:B26"/>
    <mergeCell ref="A27:B27"/>
    <mergeCell ref="A28:B28"/>
    <mergeCell ref="A29:B29"/>
    <mergeCell ref="N11:U11"/>
    <mergeCell ref="A19:B19"/>
    <mergeCell ref="A20:B20"/>
    <mergeCell ref="A21:B21"/>
    <mergeCell ref="A22:B22"/>
    <mergeCell ref="A23:B23"/>
    <mergeCell ref="A24:B24"/>
    <mergeCell ref="A25:B25"/>
    <mergeCell ref="A1:D1"/>
    <mergeCell ref="A6:D6"/>
    <mergeCell ref="A11:M11"/>
    <mergeCell ref="A12:B12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6f2023-c73e-4f07-b55c-1962c7e94cbc">
      <Terms xmlns="http://schemas.microsoft.com/office/infopath/2007/PartnerControls"/>
    </lcf76f155ced4ddcb4097134ff3c332f>
    <TaxCatchAll xmlns="61885cdf-4994-4e62-a13a-a6665065bb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E244E38E309E449CB7B90430534D8B" ma:contentTypeVersion="17" ma:contentTypeDescription="Een nieuw document maken." ma:contentTypeScope="" ma:versionID="9e24b0c8e0677f4182930d7e98efc00c">
  <xsd:schema xmlns:xsd="http://www.w3.org/2001/XMLSchema" xmlns:xs="http://www.w3.org/2001/XMLSchema" xmlns:p="http://schemas.microsoft.com/office/2006/metadata/properties" xmlns:ns2="ae6f2023-c73e-4f07-b55c-1962c7e94cbc" xmlns:ns3="61885cdf-4994-4e62-a13a-a6665065bba5" targetNamespace="http://schemas.microsoft.com/office/2006/metadata/properties" ma:root="true" ma:fieldsID="f3ec18129bc89152f2febee3e8d6ab97" ns2:_="" ns3:_="">
    <xsd:import namespace="ae6f2023-c73e-4f07-b55c-1962c7e94cbc"/>
    <xsd:import namespace="61885cdf-4994-4e62-a13a-a6665065b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f2023-c73e-4f07-b55c-1962c7e94c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494c4a6b-2b60-416b-882f-f8bfad2f4c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85cdf-4994-4e62-a13a-a6665065bb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c6893bb-1a4f-4ae6-bd68-71ed2dd7b48e}" ma:internalName="TaxCatchAll" ma:showField="CatchAllData" ma:web="61885cdf-4994-4e62-a13a-a6665065b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7CA7B-C97B-4B30-ACC6-6919058A4D6F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61885cdf-4994-4e62-a13a-a6665065bba5"/>
    <ds:schemaRef ds:uri="ae6f2023-c73e-4f07-b55c-1962c7e94cbc"/>
  </ds:schemaRefs>
</ds:datastoreItem>
</file>

<file path=customXml/itemProps2.xml><?xml version="1.0" encoding="utf-8"?>
<ds:datastoreItem xmlns:ds="http://schemas.openxmlformats.org/officeDocument/2006/customXml" ds:itemID="{684765D2-8910-4882-97EB-44933CDE2E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23DCE-FBC9-44DE-8743-6DA8D42F2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Import</vt:lpstr>
      <vt:lpstr>Berekening</vt:lpstr>
      <vt:lpstr>Opmerkingen+Controle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Liselotte Beumer</cp:lastModifiedBy>
  <cp:revision/>
  <dcterms:created xsi:type="dcterms:W3CDTF">2019-01-07T13:09:40Z</dcterms:created>
  <dcterms:modified xsi:type="dcterms:W3CDTF">2025-12-12T14:03:38Z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0x01010049E244E38E309E449CB7B90430534D8B</vt:lpwstr>
  </property>
  <property fmtid="{D5CDD505-2E9C-101B-9397-08002B2CF9AE}" pid="3" name="MediaServiceImageTags">
    <vt:lpwstr/>
  </property>
</Properties>
</file>